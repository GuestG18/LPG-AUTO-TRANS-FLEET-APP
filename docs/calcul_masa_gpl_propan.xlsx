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Efect temperatura" sheetId="2" state="visible" r:id="rId2"/>
    <sheet xmlns:r="http://schemas.openxmlformats.org/officeDocument/2006/relationships" name="Livrari" sheetId="3" state="visible" r:id="rId3"/>
    <sheet xmlns:r="http://schemas.openxmlformats.org/officeDocument/2006/relationships" name="Coeficient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"/>
    <numFmt numFmtId="165" formatCode="0.0000"/>
    <numFmt numFmtId="166" formatCode="0.00000"/>
    <numFmt numFmtId="167" formatCode="#,##0.0"/>
    <numFmt numFmtId="168" formatCode="#,##0.000"/>
    <numFmt numFmtId="169" formatCode="+#,##0.0;-#,##0.0;0"/>
    <numFmt numFmtId="170" formatCode="0.000"/>
    <numFmt numFmtId="171" formatCode="dd.mm.yyyy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  <color rgb="00FFFFFF"/>
    </font>
    <font>
      <name val="Arial"/>
      <b val="1"/>
    </font>
    <font>
      <name val="Arial"/>
    </font>
    <font>
      <name val="Arial"/>
      <b val="1"/>
      <color rgb="000000FF"/>
    </font>
    <font>
      <name val="Arial"/>
      <b val="1"/>
      <sz val="12"/>
    </font>
    <font>
      <name val="Arial"/>
      <b val="1"/>
      <sz val="13"/>
    </font>
    <font>
      <name val="Arial"/>
      <i val="1"/>
      <sz val="9"/>
    </font>
    <font>
      <name val="Arial"/>
      <color rgb="000000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0" pivotButton="0" quotePrefix="0" xfId="0"/>
    <xf numFmtId="0" fontId="5" fillId="0" borderId="1" applyAlignment="1" pivotButton="0" quotePrefix="0" xfId="0">
      <alignment vertical="top" wrapText="1"/>
    </xf>
    <xf numFmtId="3" fontId="6" fillId="4" borderId="1" applyAlignment="1" pivotButton="0" quotePrefix="0" xfId="0">
      <alignment horizontal="right" vertical="top"/>
    </xf>
    <xf numFmtId="164" fontId="6" fillId="4" borderId="1" applyAlignment="1" pivotButton="0" quotePrefix="0" xfId="0">
      <alignment horizontal="right" vertical="top"/>
    </xf>
    <xf numFmtId="165" fontId="6" fillId="4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right" vertical="top"/>
    </xf>
    <xf numFmtId="166" fontId="5" fillId="0" borderId="1" applyAlignment="1" pivotButton="0" quotePrefix="0" xfId="0">
      <alignment horizontal="right" vertical="top"/>
    </xf>
    <xf numFmtId="164" fontId="5" fillId="0" borderId="1" applyAlignment="1" pivotButton="0" quotePrefix="0" xfId="0">
      <alignment horizontal="right" vertical="top"/>
    </xf>
    <xf numFmtId="165" fontId="5" fillId="0" borderId="1" applyAlignment="1" pivotButton="0" quotePrefix="0" xfId="0">
      <alignment horizontal="right" vertical="top"/>
    </xf>
    <xf numFmtId="167" fontId="5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vertical="top" wrapText="1"/>
    </xf>
    <xf numFmtId="167" fontId="7" fillId="5" borderId="1" applyAlignment="1" pivotButton="0" quotePrefix="0" xfId="0">
      <alignment horizontal="right" vertical="top"/>
    </xf>
    <xf numFmtId="168" fontId="7" fillId="5" borderId="1" applyAlignment="1" pivotButton="0" quotePrefix="0" xfId="0">
      <alignment horizontal="right" vertical="top"/>
    </xf>
    <xf numFmtId="169" fontId="5" fillId="0" borderId="1" applyAlignment="1" pivotButton="0" quotePrefix="0" xfId="0">
      <alignment horizontal="right" vertical="top"/>
    </xf>
    <xf numFmtId="10" fontId="5" fillId="0" borderId="1" applyAlignment="1" pivotButton="0" quotePrefix="0" xfId="0">
      <alignment horizontal="right" vertical="top"/>
    </xf>
    <xf numFmtId="0" fontId="8" fillId="0" borderId="0" pivotButton="0" quotePrefix="0" xfId="0"/>
    <xf numFmtId="0" fontId="3" fillId="2" borderId="0" applyAlignment="1" pivotButton="0" quotePrefix="0" xfId="0">
      <alignment vertical="top" wrapText="1"/>
    </xf>
    <xf numFmtId="1" fontId="6" fillId="0" borderId="1" pivotButton="0" quotePrefix="0" xfId="0"/>
    <xf numFmtId="1" fontId="5" fillId="0" borderId="1" pivotButton="0" quotePrefix="0" xfId="0"/>
    <xf numFmtId="165" fontId="5" fillId="0" borderId="1" pivotButton="0" quotePrefix="0" xfId="0"/>
    <xf numFmtId="167" fontId="5" fillId="0" borderId="1" pivotButton="0" quotePrefix="0" xfId="0"/>
    <xf numFmtId="168" fontId="5" fillId="0" borderId="1" pivotButton="0" quotePrefix="0" xfId="0"/>
    <xf numFmtId="169" fontId="5" fillId="0" borderId="1" pivotButton="0" quotePrefix="0" xfId="0"/>
    <xf numFmtId="1" fontId="6" fillId="5" borderId="1" pivotButton="0" quotePrefix="0" xfId="0"/>
    <xf numFmtId="1" fontId="5" fillId="5" borderId="1" pivotButton="0" quotePrefix="0" xfId="0"/>
    <xf numFmtId="165" fontId="5" fillId="5" borderId="1" pivotButton="0" quotePrefix="0" xfId="0"/>
    <xf numFmtId="167" fontId="5" fillId="5" borderId="1" pivotButton="0" quotePrefix="0" xfId="0"/>
    <xf numFmtId="168" fontId="5" fillId="5" borderId="1" pivotButton="0" quotePrefix="0" xfId="0"/>
    <xf numFmtId="169" fontId="5" fillId="5" borderId="1" pivotButton="0" quotePrefix="0" xfId="0"/>
    <xf numFmtId="171" fontId="10" fillId="4" borderId="1" pivotButton="0" quotePrefix="0" xfId="0"/>
    <xf numFmtId="49" fontId="10" fillId="4" borderId="1" pivotButton="0" quotePrefix="0" xfId="0"/>
    <xf numFmtId="3" fontId="10" fillId="4" borderId="1" pivotButton="0" quotePrefix="0" xfId="0"/>
    <xf numFmtId="164" fontId="10" fillId="4" borderId="1" pivotButton="0" quotePrefix="0" xfId="0"/>
    <xf numFmtId="165" fontId="10" fillId="4" borderId="1" pivotButton="0" quotePrefix="0" xfId="0"/>
    <xf numFmtId="166" fontId="5" fillId="0" borderId="1" pivotButton="0" quotePrefix="0" xfId="0"/>
    <xf numFmtId="0" fontId="4" fillId="0" borderId="0" pivotButton="0" quotePrefix="0" xfId="0"/>
    <xf numFmtId="3" fontId="4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3" fillId="2" borderId="0" pivotButton="0" quotePrefix="0" xfId="0"/>
    <xf numFmtId="170" fontId="6" fillId="0" borderId="0" pivotButton="0" quotePrefix="0" xfId="0"/>
    <xf numFmtId="166" fontId="6" fillId="0" borderId="0" pivotButton="0" quotePrefix="0" xfId="0"/>
    <xf numFmtId="0" fontId="5" fillId="0" borderId="0" pivotButton="0" quotePrefix="0" xfId="0"/>
    <xf numFmtId="0" fontId="9" fillId="0" borderId="0" applyAlignment="1" pivotButton="0" quotePrefix="0" xfId="0">
      <alignment vertical="top" wrapText="1"/>
    </xf>
    <xf numFmtId="166" fontId="4" fillId="5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Calculator</author>
  </authors>
  <commentList>
    <comment ref="C6" authorId="0" shapeId="0">
      <text>
        <t>Exemplu – înlocuiește cu litrii tăi.</t>
      </text>
    </comment>
    <comment ref="C8" authorId="0" shapeId="0">
      <text>
        <t>Propan comercial: tipic 0,500–0,515 kg/L. Ia valoarea din certificatul lotului.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9" customWidth="1" min="4" max="4"/>
    <col width="38" customWidth="1" min="5" max="5"/>
    <col width="62" customWidth="1" min="6" max="6"/>
  </cols>
  <sheetData>
    <row r="1">
      <c r="B1" s="1" t="inlineStr">
        <is>
          <t>Calcul masă GPL (propan) din litri la temperatura ambiantă</t>
        </is>
      </c>
    </row>
    <row r="2">
      <c r="B2" s="2" t="inlineStr">
        <is>
          <t>Completezi doar celulele GALBENE (text albastru). Restul se calculează automat.</t>
        </is>
      </c>
    </row>
    <row r="4">
      <c r="B4" s="3" t="inlineStr">
        <is>
          <t>Mărime</t>
        </is>
      </c>
      <c r="C4" s="3" t="inlineStr">
        <is>
          <t>Valoare</t>
        </is>
      </c>
      <c r="D4" s="3" t="inlineStr">
        <is>
          <t>Unitate</t>
        </is>
      </c>
      <c r="E4" s="3" t="inlineStr">
        <is>
          <t>Formula (în cuvinte)</t>
        </is>
      </c>
      <c r="F4" s="3" t="inlineStr">
        <is>
          <t>Explicație</t>
        </is>
      </c>
    </row>
    <row r="5">
      <c r="B5" s="4" t="inlineStr">
        <is>
          <t>PASUL 0 – Date de intrare</t>
        </is>
      </c>
    </row>
    <row r="6">
      <c r="B6" s="5" t="inlineStr">
        <is>
          <t>Litri livrați (citiți la contor)</t>
        </is>
      </c>
      <c r="C6" s="6" t="n">
        <v>10000</v>
      </c>
      <c r="D6" s="5" t="inlineStr">
        <is>
          <t>L</t>
        </is>
      </c>
      <c r="E6" s="5" t="inlineStr">
        <is>
          <t>V_t</t>
        </is>
      </c>
      <c r="F6" s="5" t="inlineStr">
        <is>
          <t>Volumul măsurat la temperatura reală a produsului (ambiantă).</t>
        </is>
      </c>
    </row>
    <row r="7">
      <c r="B7" s="5" t="inlineStr">
        <is>
          <t>Temperatura produsului la livrare</t>
        </is>
      </c>
      <c r="C7" s="7" t="n">
        <v>25</v>
      </c>
      <c r="D7" s="5" t="inlineStr">
        <is>
          <t>°C</t>
        </is>
      </c>
      <c r="E7" s="5" t="inlineStr">
        <is>
          <t>t</t>
        </is>
      </c>
      <c r="F7" s="5" t="inlineStr">
        <is>
          <t>Temperatura din momentul măsurării (de pe contor / termometru).</t>
        </is>
      </c>
    </row>
    <row r="8">
      <c r="B8" s="5" t="inlineStr">
        <is>
          <t>Densitatea la 15 °C</t>
        </is>
      </c>
      <c r="C8" s="8" t="n">
        <v>0.51</v>
      </c>
      <c r="D8" s="5" t="inlineStr">
        <is>
          <t>kg/L</t>
        </is>
      </c>
      <c r="E8" s="5" t="inlineStr">
        <is>
          <t>ρ15</t>
        </is>
      </c>
      <c r="F8" s="5" t="inlineStr">
        <is>
          <t>Din certificatul de calitate / buletinul de analiză al lotului.</t>
        </is>
      </c>
    </row>
    <row r="9">
      <c r="B9" s="5" t="inlineStr">
        <is>
          <t>Cântărire „în aer”? (DA/NU)</t>
        </is>
      </c>
      <c r="C9" s="9" t="inlineStr">
        <is>
          <t>NU</t>
        </is>
      </c>
      <c r="D9" s="5" t="inlineStr"/>
      <c r="E9" s="5" t="inlineStr"/>
      <c r="F9" s="5" t="inlineStr">
        <is>
          <t>DA = se scade flotabilitatea aerului (0,0011 kg/L). Calculul comercial obișnuit folosește NU (masă în vid).</t>
        </is>
      </c>
    </row>
    <row r="10">
      <c r="B10" s="4" t="inlineStr">
        <is>
          <t>PASUL 1 – Coeficientul de dilatare termică β</t>
        </is>
      </c>
    </row>
    <row r="11">
      <c r="B11" s="5" t="inlineStr">
        <is>
          <t>Coeficient de dilatare β</t>
        </is>
      </c>
      <c r="C11" s="10">
        <f>Coeficienti!B12</f>
        <v/>
      </c>
      <c r="D11" s="5" t="inlineStr">
        <is>
          <t>1/°C</t>
        </is>
      </c>
      <c r="E11" s="5" t="inlineStr">
        <is>
          <t>interpolat din foaia Coeficienti după ρ15</t>
        </is>
      </c>
      <c r="F11" s="5" t="inlineStr">
        <is>
          <t>Cât se dilată produsul pe fiecare grad. Propanul (ușor) se dilată mai mult decât butanul (greu).</t>
        </is>
      </c>
    </row>
    <row r="12">
      <c r="B12" s="4" t="inlineStr">
        <is>
          <t>PASUL 2 – Diferența de temperatură față de 15 °C</t>
        </is>
      </c>
    </row>
    <row r="13">
      <c r="B13" s="5" t="inlineStr">
        <is>
          <t>Δt = t − 15</t>
        </is>
      </c>
      <c r="C13" s="11">
        <f>C7-Coeficienti!B15</f>
        <v/>
      </c>
      <c r="D13" s="5" t="inlineStr">
        <is>
          <t>°C</t>
        </is>
      </c>
      <c r="E13" s="5" t="inlineStr">
        <is>
          <t>t − 15</t>
        </is>
      </c>
      <c r="F13" s="5" t="inlineStr">
        <is>
          <t>Pozitiv = mai cald decât 15 °C (produsul e dilatat). Negativ = mai rece (produsul e contractat).</t>
        </is>
      </c>
    </row>
    <row r="14">
      <c r="B14" s="4" t="inlineStr">
        <is>
          <t>PASUL 3 – Factorul de corecție a volumului (VCF)</t>
        </is>
      </c>
    </row>
    <row r="15">
      <c r="B15" s="5" t="inlineStr">
        <is>
          <t>VCF = 1 − β × Δt</t>
        </is>
      </c>
      <c r="C15" s="12">
        <f>1-C11*C13</f>
        <v/>
      </c>
      <c r="D15" s="5" t="inlineStr">
        <is>
          <t>-</t>
        </is>
      </c>
      <c r="E15" s="5" t="inlineStr">
        <is>
          <t>1 − β × (t − 15)</t>
        </is>
      </c>
      <c r="F15" s="5" t="inlineStr">
        <is>
          <t>Cu cât se înmulțesc litrii reali ca să afli câți litri ar fi la 15 °C. VCF &lt; 1 când e cald, &gt; 1 când e frig.</t>
        </is>
      </c>
    </row>
    <row r="16">
      <c r="B16" s="4" t="inlineStr">
        <is>
          <t>PASUL 4 – Volumul adus la 15 °C</t>
        </is>
      </c>
    </row>
    <row r="17">
      <c r="B17" s="5" t="inlineStr">
        <is>
          <t>V15 = V_t × VCF</t>
        </is>
      </c>
      <c r="C17" s="13">
        <f>C6*C15</f>
        <v/>
      </c>
      <c r="D17" s="5" t="inlineStr">
        <is>
          <t>L</t>
        </is>
      </c>
      <c r="E17" s="5" t="inlineStr">
        <is>
          <t>V_t × VCF</t>
        </is>
      </c>
      <c r="F17" s="5" t="inlineStr">
        <is>
          <t>Litri „standard” – același produs, dacă ar avea 15 °C.</t>
        </is>
      </c>
    </row>
    <row r="18">
      <c r="B18" s="4" t="inlineStr">
        <is>
          <t>PASUL 5 – Densitatea folosită la calculul masei</t>
        </is>
      </c>
    </row>
    <row r="19">
      <c r="B19" s="5" t="inlineStr">
        <is>
          <t>Densitate de calcul</t>
        </is>
      </c>
      <c r="C19" s="12">
        <f>IF(UPPER(C9)="DA",C8-Coeficienti!B16,C8)</f>
        <v/>
      </c>
      <c r="D19" s="5" t="inlineStr">
        <is>
          <t>kg/L</t>
        </is>
      </c>
      <c r="E19" s="5" t="inlineStr">
        <is>
          <t>ρ15 (sau ρ15 − 0,0011 dacă „în aer”)</t>
        </is>
      </c>
      <c r="F19" s="5" t="inlineStr">
        <is>
          <t>Corecția de flotabilitate a aerului se aplică doar dacă documentele cer masa „în aer”.</t>
        </is>
      </c>
    </row>
    <row r="20">
      <c r="B20" s="4" t="inlineStr">
        <is>
          <t>PASUL 6 – Masa</t>
        </is>
      </c>
    </row>
    <row r="21">
      <c r="B21" s="14" t="inlineStr">
        <is>
          <t>Masa = V15 × densitate</t>
        </is>
      </c>
      <c r="C21" s="15">
        <f>C17*C19</f>
        <v/>
      </c>
      <c r="D21" s="5" t="inlineStr">
        <is>
          <t>kg</t>
        </is>
      </c>
      <c r="E21" s="5" t="inlineStr">
        <is>
          <t>V15 × ρ</t>
        </is>
      </c>
      <c r="F21" s="5" t="inlineStr">
        <is>
          <t>Masa nu depinde de temperatură – de aceea o calculăm pe litrii aduși la 15 °C.</t>
        </is>
      </c>
    </row>
    <row r="22">
      <c r="B22" s="14" t="inlineStr">
        <is>
          <t>Masa în tone</t>
        </is>
      </c>
      <c r="C22" s="16">
        <f>C21/1000</f>
        <v/>
      </c>
      <c r="D22" s="5" t="inlineStr">
        <is>
          <t>t</t>
        </is>
      </c>
      <c r="E22" s="5" t="inlineStr">
        <is>
          <t>kg ÷ 1000</t>
        </is>
      </c>
      <c r="F22" s="5" t="inlineStr"/>
    </row>
    <row r="23">
      <c r="B23" s="4" t="inlineStr">
        <is>
          <t>VERIFICĂRI / ÎNȚELEGERE</t>
        </is>
      </c>
    </row>
    <row r="24">
      <c r="B24" s="5" t="inlineStr">
        <is>
          <t>Densitatea reală la temperatura t</t>
        </is>
      </c>
      <c r="C24" s="12">
        <f>C8*C15</f>
        <v/>
      </c>
      <c r="D24" s="5" t="inlineStr">
        <is>
          <t>kg/L</t>
        </is>
      </c>
      <c r="E24" s="5" t="inlineStr">
        <is>
          <t>ρ_t = ρ15 × VCF</t>
        </is>
      </c>
      <c r="F24" s="5" t="inlineStr">
        <is>
          <t>Cât cântărește un litru la temperatura de livrare.</t>
        </is>
      </c>
    </row>
    <row r="25">
      <c r="B25" s="5" t="inlineStr">
        <is>
          <t>Masa calculată direct: V_t × ρ_t</t>
        </is>
      </c>
      <c r="C25" s="13">
        <f>C6*C24</f>
        <v/>
      </c>
      <c r="D25" s="5" t="inlineStr">
        <is>
          <t>kg</t>
        </is>
      </c>
      <c r="E25" s="5" t="inlineStr">
        <is>
          <t>V_t × ρ_t</t>
        </is>
      </c>
      <c r="F25" s="5" t="inlineStr">
        <is>
          <t>Trebuie să iasă egal cu masa de mai sus (când „în aer” = NU). Arată că e același lucru.</t>
        </is>
      </c>
    </row>
    <row r="26">
      <c r="B26" s="5" t="inlineStr">
        <is>
          <t>Masa dacă ai fi ignorat temperatura</t>
        </is>
      </c>
      <c r="C26" s="13">
        <f>C6*C8</f>
        <v/>
      </c>
      <c r="D26" s="5" t="inlineStr">
        <is>
          <t>kg</t>
        </is>
      </c>
      <c r="E26" s="5" t="inlineStr">
        <is>
          <t>V_t × ρ15</t>
        </is>
      </c>
      <c r="F26" s="5" t="inlineStr">
        <is>
          <t>Greșeala tipică: înmulțești litrii direct cu densitatea de la 15 °C.</t>
        </is>
      </c>
    </row>
    <row r="27">
      <c r="B27" s="5" t="inlineStr">
        <is>
          <t>Diferența (eroarea evitată)</t>
        </is>
      </c>
      <c r="C27" s="17">
        <f>C26-C21</f>
        <v/>
      </c>
      <c r="D27" s="5" t="inlineStr">
        <is>
          <t>kg</t>
        </is>
      </c>
      <c r="E27" s="5" t="inlineStr"/>
      <c r="F27" s="5" t="inlineStr">
        <is>
          <t>Pozitiv = ai fi raportat/facturat prea mult; negativ = prea puțin.</t>
        </is>
      </c>
    </row>
    <row r="28">
      <c r="B28" s="5" t="inlineStr">
        <is>
          <t>Diferența în %</t>
        </is>
      </c>
      <c r="C28" s="18">
        <f>IF(C21=0,0,C27/C21)</f>
        <v/>
      </c>
      <c r="D28" s="5" t="inlineStr">
        <is>
          <t>%</t>
        </is>
      </c>
      <c r="E28" s="5" t="inlineStr"/>
      <c r="F28" s="5" t="inlineStr">
        <is>
          <t>Aproximativ 0,3 % pe fiecare grad diferență față de 15 °C.</t>
        </is>
      </c>
    </row>
  </sheetData>
  <mergeCells count="8">
    <mergeCell ref="B12:F12"/>
    <mergeCell ref="B16:F16"/>
    <mergeCell ref="B20:F20"/>
    <mergeCell ref="B10:F10"/>
    <mergeCell ref="B5:F5"/>
    <mergeCell ref="B23:F23"/>
    <mergeCell ref="B14:F14"/>
    <mergeCell ref="B18:F18"/>
  </mergeCells>
  <dataValidations count="1">
    <dataValidation sqref="C9" showDropDown="0" showInputMessage="0" showErrorMessage="0" allowBlank="0" type="list">
      <formula1>"DA,NU"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9" t="inlineStr">
        <is>
          <t>Aceiași litri, temperaturi diferite – cum se schimbă masa</t>
        </is>
      </c>
    </row>
    <row r="2">
      <c r="A2" s="2" t="inlineStr">
        <is>
          <t>Folosește litrii, ρ15 și β din foaia Calculator. Rândul verde = 15 °C (fără corecție).</t>
        </is>
      </c>
    </row>
    <row r="4">
      <c r="A4" s="20" t="inlineStr">
        <is>
          <t>Temperatura (°C)</t>
        </is>
      </c>
      <c r="B4" s="20" t="inlineStr">
        <is>
          <t>Δt (°C)</t>
        </is>
      </c>
      <c r="C4" s="20" t="inlineStr">
        <is>
          <t>VCF</t>
        </is>
      </c>
      <c r="D4" s="20" t="inlineStr">
        <is>
          <t>V15 (L)</t>
        </is>
      </c>
      <c r="E4" s="20" t="inlineStr">
        <is>
          <t>Masa (kg)</t>
        </is>
      </c>
      <c r="F4" s="20" t="inlineStr">
        <is>
          <t>Masa (t)</t>
        </is>
      </c>
      <c r="G4" s="20" t="inlineStr">
        <is>
          <t>Dif. față de 15 °C (kg)</t>
        </is>
      </c>
    </row>
    <row r="5">
      <c r="A5" s="21" t="n">
        <v>-10</v>
      </c>
      <c r="B5" s="22">
        <f>A5-Coeficienti!$B$15</f>
        <v/>
      </c>
      <c r="C5" s="23">
        <f>1-Calculator!$C$11*B5</f>
        <v/>
      </c>
      <c r="D5" s="24">
        <f>Calculator!$C$6*C5</f>
        <v/>
      </c>
      <c r="E5" s="24">
        <f>D5*Calculator!$C$19</f>
        <v/>
      </c>
      <c r="F5" s="25">
        <f>E5/1000</f>
        <v/>
      </c>
      <c r="G5" s="26">
        <f>E5-Calculator!$C$6*Calculator!$C$19</f>
        <v/>
      </c>
    </row>
    <row r="6">
      <c r="A6" s="21" t="n">
        <v>-5</v>
      </c>
      <c r="B6" s="22">
        <f>A6-Coeficienti!$B$15</f>
        <v/>
      </c>
      <c r="C6" s="23">
        <f>1-Calculator!$C$11*B6</f>
        <v/>
      </c>
      <c r="D6" s="24">
        <f>Calculator!$C$6*C6</f>
        <v/>
      </c>
      <c r="E6" s="24">
        <f>D6*Calculator!$C$19</f>
        <v/>
      </c>
      <c r="F6" s="25">
        <f>E6/1000</f>
        <v/>
      </c>
      <c r="G6" s="26">
        <f>E6-Calculator!$C$6*Calculator!$C$19</f>
        <v/>
      </c>
    </row>
    <row r="7">
      <c r="A7" s="21" t="n">
        <v>0</v>
      </c>
      <c r="B7" s="22">
        <f>A7-Coeficienti!$B$15</f>
        <v/>
      </c>
      <c r="C7" s="23">
        <f>1-Calculator!$C$11*B7</f>
        <v/>
      </c>
      <c r="D7" s="24">
        <f>Calculator!$C$6*C7</f>
        <v/>
      </c>
      <c r="E7" s="24">
        <f>D7*Calculator!$C$19</f>
        <v/>
      </c>
      <c r="F7" s="25">
        <f>E7/1000</f>
        <v/>
      </c>
      <c r="G7" s="26">
        <f>E7-Calculator!$C$6*Calculator!$C$19</f>
        <v/>
      </c>
    </row>
    <row r="8">
      <c r="A8" s="21" t="n">
        <v>5</v>
      </c>
      <c r="B8" s="22">
        <f>A8-Coeficienti!$B$15</f>
        <v/>
      </c>
      <c r="C8" s="23">
        <f>1-Calculator!$C$11*B8</f>
        <v/>
      </c>
      <c r="D8" s="24">
        <f>Calculator!$C$6*C8</f>
        <v/>
      </c>
      <c r="E8" s="24">
        <f>D8*Calculator!$C$19</f>
        <v/>
      </c>
      <c r="F8" s="25">
        <f>E8/1000</f>
        <v/>
      </c>
      <c r="G8" s="26">
        <f>E8-Calculator!$C$6*Calculator!$C$19</f>
        <v/>
      </c>
    </row>
    <row r="9">
      <c r="A9" s="21" t="n">
        <v>10</v>
      </c>
      <c r="B9" s="22">
        <f>A9-Coeficienti!$B$15</f>
        <v/>
      </c>
      <c r="C9" s="23">
        <f>1-Calculator!$C$11*B9</f>
        <v/>
      </c>
      <c r="D9" s="24">
        <f>Calculator!$C$6*C9</f>
        <v/>
      </c>
      <c r="E9" s="24">
        <f>D9*Calculator!$C$19</f>
        <v/>
      </c>
      <c r="F9" s="25">
        <f>E9/1000</f>
        <v/>
      </c>
      <c r="G9" s="26">
        <f>E9-Calculator!$C$6*Calculator!$C$19</f>
        <v/>
      </c>
    </row>
    <row r="10">
      <c r="A10" s="27" t="n">
        <v>15</v>
      </c>
      <c r="B10" s="28">
        <f>A10-Coeficienti!$B$15</f>
        <v/>
      </c>
      <c r="C10" s="29">
        <f>1-Calculator!$C$11*B10</f>
        <v/>
      </c>
      <c r="D10" s="30">
        <f>Calculator!$C$6*C10</f>
        <v/>
      </c>
      <c r="E10" s="30">
        <f>D10*Calculator!$C$19</f>
        <v/>
      </c>
      <c r="F10" s="31">
        <f>E10/1000</f>
        <v/>
      </c>
      <c r="G10" s="32">
        <f>E10-Calculator!$C$6*Calculator!$C$19</f>
        <v/>
      </c>
    </row>
    <row r="11">
      <c r="A11" s="21" t="n">
        <v>20</v>
      </c>
      <c r="B11" s="22">
        <f>A11-Coeficienti!$B$15</f>
        <v/>
      </c>
      <c r="C11" s="23">
        <f>1-Calculator!$C$11*B11</f>
        <v/>
      </c>
      <c r="D11" s="24">
        <f>Calculator!$C$6*C11</f>
        <v/>
      </c>
      <c r="E11" s="24">
        <f>D11*Calculator!$C$19</f>
        <v/>
      </c>
      <c r="F11" s="25">
        <f>E11/1000</f>
        <v/>
      </c>
      <c r="G11" s="26">
        <f>E11-Calculator!$C$6*Calculator!$C$19</f>
        <v/>
      </c>
    </row>
    <row r="12">
      <c r="A12" s="21" t="n">
        <v>25</v>
      </c>
      <c r="B12" s="22">
        <f>A12-Coeficienti!$B$15</f>
        <v/>
      </c>
      <c r="C12" s="23">
        <f>1-Calculator!$C$11*B12</f>
        <v/>
      </c>
      <c r="D12" s="24">
        <f>Calculator!$C$6*C12</f>
        <v/>
      </c>
      <c r="E12" s="24">
        <f>D12*Calculator!$C$19</f>
        <v/>
      </c>
      <c r="F12" s="25">
        <f>E12/1000</f>
        <v/>
      </c>
      <c r="G12" s="26">
        <f>E12-Calculator!$C$6*Calculator!$C$19</f>
        <v/>
      </c>
    </row>
    <row r="13">
      <c r="A13" s="21" t="n">
        <v>30</v>
      </c>
      <c r="B13" s="22">
        <f>A13-Coeficienti!$B$15</f>
        <v/>
      </c>
      <c r="C13" s="23">
        <f>1-Calculator!$C$11*B13</f>
        <v/>
      </c>
      <c r="D13" s="24">
        <f>Calculator!$C$6*C13</f>
        <v/>
      </c>
      <c r="E13" s="24">
        <f>D13*Calculator!$C$19</f>
        <v/>
      </c>
      <c r="F13" s="25">
        <f>E13/1000</f>
        <v/>
      </c>
      <c r="G13" s="26">
        <f>E13-Calculator!$C$6*Calculator!$C$19</f>
        <v/>
      </c>
    </row>
    <row r="14">
      <c r="A14" s="21" t="n">
        <v>35</v>
      </c>
      <c r="B14" s="22">
        <f>A14-Coeficienti!$B$15</f>
        <v/>
      </c>
      <c r="C14" s="23">
        <f>1-Calculator!$C$11*B14</f>
        <v/>
      </c>
      <c r="D14" s="24">
        <f>Calculator!$C$6*C14</f>
        <v/>
      </c>
      <c r="E14" s="24">
        <f>D14*Calculator!$C$19</f>
        <v/>
      </c>
      <c r="F14" s="25">
        <f>E14/1000</f>
        <v/>
      </c>
      <c r="G14" s="26">
        <f>E14-Calculator!$C$6*Calculator!$C$19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11" customWidth="1" min="5" max="5"/>
    <col width="11" customWidth="1" min="6" max="6"/>
    <col width="9" customWidth="1" min="7" max="7"/>
    <col width="12" customWidth="1" min="8" max="8"/>
    <col width="12" customWidth="1" min="9" max="9"/>
    <col width="11" customWidth="1" min="10" max="10"/>
  </cols>
  <sheetData>
    <row r="1">
      <c r="A1" s="19" t="inlineStr">
        <is>
          <t>Registru livrări – calcul pe fiecare livrare</t>
        </is>
      </c>
    </row>
    <row r="2">
      <c r="A2" s="2" t="inlineStr">
        <is>
          <t>Completezi coloanele galbene (A–E). Rândurile 5–6 sunt exemple – le poți suprascrie sau șterge.</t>
        </is>
      </c>
    </row>
    <row r="4">
      <c r="A4" s="20" t="inlineStr">
        <is>
          <t>Data</t>
        </is>
      </c>
      <c r="B4" s="20" t="inlineStr">
        <is>
          <t>Nr. aviz</t>
        </is>
      </c>
      <c r="C4" s="20" t="inlineStr">
        <is>
          <t>Litri (V_t)</t>
        </is>
      </c>
      <c r="D4" s="20" t="inlineStr">
        <is>
          <t>Temp. (°C)</t>
        </is>
      </c>
      <c r="E4" s="20" t="inlineStr">
        <is>
          <t>ρ15 (kg/L)</t>
        </is>
      </c>
      <c r="F4" s="20" t="inlineStr">
        <is>
          <t>β (1/°C)</t>
        </is>
      </c>
      <c r="G4" s="20" t="inlineStr">
        <is>
          <t>VCF</t>
        </is>
      </c>
      <c r="H4" s="20" t="inlineStr">
        <is>
          <t>V15 (L)</t>
        </is>
      </c>
      <c r="I4" s="20" t="inlineStr">
        <is>
          <t>Masa (kg)</t>
        </is>
      </c>
      <c r="J4" s="20" t="inlineStr">
        <is>
          <t>Masa (t)</t>
        </is>
      </c>
    </row>
    <row r="5">
      <c r="A5" s="33" t="n">
        <v>46300</v>
      </c>
      <c r="B5" s="34" t="inlineStr">
        <is>
          <t>EXEMPLU-1</t>
        </is>
      </c>
      <c r="C5" s="35" t="n">
        <v>10000</v>
      </c>
      <c r="D5" s="36" t="n">
        <v>25</v>
      </c>
      <c r="E5" s="37" t="n">
        <v>0.51</v>
      </c>
      <c r="F5" s="38">
        <f>IF(OR(C5="",D5="",E5=""),"",IF(E5&lt;=Coeficienti!$A$4,Coeficienti!$B$4,IF(E5&gt;=Coeficienti!$A$7,Coeficienti!$B$7,INDEX(Coeficienti!$B$4:$B$7,MATCH(E5,Coeficienti!$A$4:$A$7,1))+(E5-INDEX(Coeficienti!$A$4:$A$7,MATCH(E5,Coeficienti!$A$4:$A$7,1)))*(INDEX(Coeficienti!$B$4:$B$7,MATCH(E5,Coeficienti!$A$4:$A$7,1)+1)-INDEX(Coeficienti!$B$4:$B$7,MATCH(E5,Coeficienti!$A$4:$A$7,1)))/(INDEX(Coeficienti!$A$4:$A$7,MATCH(E5,Coeficienti!$A$4:$A$7,1)+1)-INDEX(Coeficienti!$A$4:$A$7,MATCH(E5,Coeficienti!$A$4:$A$7,1))))))</f>
        <v/>
      </c>
      <c r="G5" s="23">
        <f>IF(F5="","",1-F5*(D5-Coeficienti!$B$15))</f>
        <v/>
      </c>
      <c r="H5" s="24">
        <f>IF(G5="","",C5*G5)</f>
        <v/>
      </c>
      <c r="I5" s="24">
        <f>IF(H5="","",H5*E5)</f>
        <v/>
      </c>
      <c r="J5" s="25">
        <f>IF(I5="","",I5/1000)</f>
        <v/>
      </c>
    </row>
    <row r="6">
      <c r="A6" s="33" t="n">
        <v>46300</v>
      </c>
      <c r="B6" s="34" t="inlineStr">
        <is>
          <t>EXEMPLU-2</t>
        </is>
      </c>
      <c r="C6" s="35" t="n">
        <v>12500</v>
      </c>
      <c r="D6" s="36" t="n">
        <v>4</v>
      </c>
      <c r="E6" s="37" t="n">
        <v>0.507</v>
      </c>
      <c r="F6" s="38">
        <f>IF(OR(C6="",D6="",E6=""),"",IF(E6&lt;=Coeficienti!$A$4,Coeficienti!$B$4,IF(E6&gt;=Coeficienti!$A$7,Coeficienti!$B$7,INDEX(Coeficienti!$B$4:$B$7,MATCH(E6,Coeficienti!$A$4:$A$7,1))+(E6-INDEX(Coeficienti!$A$4:$A$7,MATCH(E6,Coeficienti!$A$4:$A$7,1)))*(INDEX(Coeficienti!$B$4:$B$7,MATCH(E6,Coeficienti!$A$4:$A$7,1)+1)-INDEX(Coeficienti!$B$4:$B$7,MATCH(E6,Coeficienti!$A$4:$A$7,1)))/(INDEX(Coeficienti!$A$4:$A$7,MATCH(E6,Coeficienti!$A$4:$A$7,1)+1)-INDEX(Coeficienti!$A$4:$A$7,MATCH(E6,Coeficienti!$A$4:$A$7,1))))))</f>
        <v/>
      </c>
      <c r="G6" s="23">
        <f>IF(F6="","",1-F6*(D6-Coeficienti!$B$15))</f>
        <v/>
      </c>
      <c r="H6" s="24">
        <f>IF(G6="","",C6*G6)</f>
        <v/>
      </c>
      <c r="I6" s="24">
        <f>IF(H6="","",H6*E6)</f>
        <v/>
      </c>
      <c r="J6" s="25">
        <f>IF(I6="","",I6/1000)</f>
        <v/>
      </c>
    </row>
    <row r="7">
      <c r="A7" s="33" t="n"/>
      <c r="B7" s="34" t="n"/>
      <c r="C7" s="35" t="n"/>
      <c r="D7" s="36" t="n"/>
      <c r="E7" s="37" t="n"/>
      <c r="F7" s="38">
        <f>IF(OR(C7="",D7="",E7=""),"",IF(E7&lt;=Coeficienti!$A$4,Coeficienti!$B$4,IF(E7&gt;=Coeficienti!$A$7,Coeficienti!$B$7,INDEX(Coeficienti!$B$4:$B$7,MATCH(E7,Coeficienti!$A$4:$A$7,1))+(E7-INDEX(Coeficienti!$A$4:$A$7,MATCH(E7,Coeficienti!$A$4:$A$7,1)))*(INDEX(Coeficienti!$B$4:$B$7,MATCH(E7,Coeficienti!$A$4:$A$7,1)+1)-INDEX(Coeficienti!$B$4:$B$7,MATCH(E7,Coeficienti!$A$4:$A$7,1)))/(INDEX(Coeficienti!$A$4:$A$7,MATCH(E7,Coeficienti!$A$4:$A$7,1)+1)-INDEX(Coeficienti!$A$4:$A$7,MATCH(E7,Coeficienti!$A$4:$A$7,1))))))</f>
        <v/>
      </c>
      <c r="G7" s="23">
        <f>IF(F7="","",1-F7*(D7-Coeficienti!$B$15))</f>
        <v/>
      </c>
      <c r="H7" s="24">
        <f>IF(G7="","",C7*G7)</f>
        <v/>
      </c>
      <c r="I7" s="24">
        <f>IF(H7="","",H7*E7)</f>
        <v/>
      </c>
      <c r="J7" s="25">
        <f>IF(I7="","",I7/1000)</f>
        <v/>
      </c>
    </row>
    <row r="8">
      <c r="A8" s="33" t="n"/>
      <c r="B8" s="34" t="n"/>
      <c r="C8" s="35" t="n"/>
      <c r="D8" s="36" t="n"/>
      <c r="E8" s="37" t="n"/>
      <c r="F8" s="38">
        <f>IF(OR(C8="",D8="",E8=""),"",IF(E8&lt;=Coeficienti!$A$4,Coeficienti!$B$4,IF(E8&gt;=Coeficienti!$A$7,Coeficienti!$B$7,INDEX(Coeficienti!$B$4:$B$7,MATCH(E8,Coeficienti!$A$4:$A$7,1))+(E8-INDEX(Coeficienti!$A$4:$A$7,MATCH(E8,Coeficienti!$A$4:$A$7,1)))*(INDEX(Coeficienti!$B$4:$B$7,MATCH(E8,Coeficienti!$A$4:$A$7,1)+1)-INDEX(Coeficienti!$B$4:$B$7,MATCH(E8,Coeficienti!$A$4:$A$7,1)))/(INDEX(Coeficienti!$A$4:$A$7,MATCH(E8,Coeficienti!$A$4:$A$7,1)+1)-INDEX(Coeficienti!$A$4:$A$7,MATCH(E8,Coeficienti!$A$4:$A$7,1))))))</f>
        <v/>
      </c>
      <c r="G8" s="23">
        <f>IF(F8="","",1-F8*(D8-Coeficienti!$B$15))</f>
        <v/>
      </c>
      <c r="H8" s="24">
        <f>IF(G8="","",C8*G8)</f>
        <v/>
      </c>
      <c r="I8" s="24">
        <f>IF(H8="","",H8*E8)</f>
        <v/>
      </c>
      <c r="J8" s="25">
        <f>IF(I8="","",I8/1000)</f>
        <v/>
      </c>
    </row>
    <row r="9">
      <c r="A9" s="33" t="n"/>
      <c r="B9" s="34" t="n"/>
      <c r="C9" s="35" t="n"/>
      <c r="D9" s="36" t="n"/>
      <c r="E9" s="37" t="n"/>
      <c r="F9" s="38">
        <f>IF(OR(C9="",D9="",E9=""),"",IF(E9&lt;=Coeficienti!$A$4,Coeficienti!$B$4,IF(E9&gt;=Coeficienti!$A$7,Coeficienti!$B$7,INDEX(Coeficienti!$B$4:$B$7,MATCH(E9,Coeficienti!$A$4:$A$7,1))+(E9-INDEX(Coeficienti!$A$4:$A$7,MATCH(E9,Coeficienti!$A$4:$A$7,1)))*(INDEX(Coeficienti!$B$4:$B$7,MATCH(E9,Coeficienti!$A$4:$A$7,1)+1)-INDEX(Coeficienti!$B$4:$B$7,MATCH(E9,Coeficienti!$A$4:$A$7,1)))/(INDEX(Coeficienti!$A$4:$A$7,MATCH(E9,Coeficienti!$A$4:$A$7,1)+1)-INDEX(Coeficienti!$A$4:$A$7,MATCH(E9,Coeficienti!$A$4:$A$7,1))))))</f>
        <v/>
      </c>
      <c r="G9" s="23">
        <f>IF(F9="","",1-F9*(D9-Coeficienti!$B$15))</f>
        <v/>
      </c>
      <c r="H9" s="24">
        <f>IF(G9="","",C9*G9)</f>
        <v/>
      </c>
      <c r="I9" s="24">
        <f>IF(H9="","",H9*E9)</f>
        <v/>
      </c>
      <c r="J9" s="25">
        <f>IF(I9="","",I9/1000)</f>
        <v/>
      </c>
    </row>
    <row r="10">
      <c r="A10" s="33" t="n"/>
      <c r="B10" s="34" t="n"/>
      <c r="C10" s="35" t="n"/>
      <c r="D10" s="36" t="n"/>
      <c r="E10" s="37" t="n"/>
      <c r="F10" s="38">
        <f>IF(OR(C10="",D10="",E10=""),"",IF(E10&lt;=Coeficienti!$A$4,Coeficienti!$B$4,IF(E10&gt;=Coeficienti!$A$7,Coeficienti!$B$7,INDEX(Coeficienti!$B$4:$B$7,MATCH(E10,Coeficienti!$A$4:$A$7,1))+(E10-INDEX(Coeficienti!$A$4:$A$7,MATCH(E10,Coeficienti!$A$4:$A$7,1)))*(INDEX(Coeficienti!$B$4:$B$7,MATCH(E10,Coeficienti!$A$4:$A$7,1)+1)-INDEX(Coeficienti!$B$4:$B$7,MATCH(E10,Coeficienti!$A$4:$A$7,1)))/(INDEX(Coeficienti!$A$4:$A$7,MATCH(E10,Coeficienti!$A$4:$A$7,1)+1)-INDEX(Coeficienti!$A$4:$A$7,MATCH(E10,Coeficienti!$A$4:$A$7,1))))))</f>
        <v/>
      </c>
      <c r="G10" s="23">
        <f>IF(F10="","",1-F10*(D10-Coeficienti!$B$15))</f>
        <v/>
      </c>
      <c r="H10" s="24">
        <f>IF(G10="","",C10*G10)</f>
        <v/>
      </c>
      <c r="I10" s="24">
        <f>IF(H10="","",H10*E10)</f>
        <v/>
      </c>
      <c r="J10" s="25">
        <f>IF(I10="","",I10/1000)</f>
        <v/>
      </c>
    </row>
    <row r="11">
      <c r="A11" s="33" t="n"/>
      <c r="B11" s="34" t="n"/>
      <c r="C11" s="35" t="n"/>
      <c r="D11" s="36" t="n"/>
      <c r="E11" s="37" t="n"/>
      <c r="F11" s="38">
        <f>IF(OR(C11="",D11="",E11=""),"",IF(E11&lt;=Coeficienti!$A$4,Coeficienti!$B$4,IF(E11&gt;=Coeficienti!$A$7,Coeficienti!$B$7,INDEX(Coeficienti!$B$4:$B$7,MATCH(E11,Coeficienti!$A$4:$A$7,1))+(E11-INDEX(Coeficienti!$A$4:$A$7,MATCH(E11,Coeficienti!$A$4:$A$7,1)))*(INDEX(Coeficienti!$B$4:$B$7,MATCH(E11,Coeficienti!$A$4:$A$7,1)+1)-INDEX(Coeficienti!$B$4:$B$7,MATCH(E11,Coeficienti!$A$4:$A$7,1)))/(INDEX(Coeficienti!$A$4:$A$7,MATCH(E11,Coeficienti!$A$4:$A$7,1)+1)-INDEX(Coeficienti!$A$4:$A$7,MATCH(E11,Coeficienti!$A$4:$A$7,1))))))</f>
        <v/>
      </c>
      <c r="G11" s="23">
        <f>IF(F11="","",1-F11*(D11-Coeficienti!$B$15))</f>
        <v/>
      </c>
      <c r="H11" s="24">
        <f>IF(G11="","",C11*G11)</f>
        <v/>
      </c>
      <c r="I11" s="24">
        <f>IF(H11="","",H11*E11)</f>
        <v/>
      </c>
      <c r="J11" s="25">
        <f>IF(I11="","",I11/1000)</f>
        <v/>
      </c>
    </row>
    <row r="12">
      <c r="A12" s="33" t="n"/>
      <c r="B12" s="34" t="n"/>
      <c r="C12" s="35" t="n"/>
      <c r="D12" s="36" t="n"/>
      <c r="E12" s="37" t="n"/>
      <c r="F12" s="38">
        <f>IF(OR(C12="",D12="",E12=""),"",IF(E12&lt;=Coeficienti!$A$4,Coeficienti!$B$4,IF(E12&gt;=Coeficienti!$A$7,Coeficienti!$B$7,INDEX(Coeficienti!$B$4:$B$7,MATCH(E12,Coeficienti!$A$4:$A$7,1))+(E12-INDEX(Coeficienti!$A$4:$A$7,MATCH(E12,Coeficienti!$A$4:$A$7,1)))*(INDEX(Coeficienti!$B$4:$B$7,MATCH(E12,Coeficienti!$A$4:$A$7,1)+1)-INDEX(Coeficienti!$B$4:$B$7,MATCH(E12,Coeficienti!$A$4:$A$7,1)))/(INDEX(Coeficienti!$A$4:$A$7,MATCH(E12,Coeficienti!$A$4:$A$7,1)+1)-INDEX(Coeficienti!$A$4:$A$7,MATCH(E12,Coeficienti!$A$4:$A$7,1))))))</f>
        <v/>
      </c>
      <c r="G12" s="23">
        <f>IF(F12="","",1-F12*(D12-Coeficienti!$B$15))</f>
        <v/>
      </c>
      <c r="H12" s="24">
        <f>IF(G12="","",C12*G12)</f>
        <v/>
      </c>
      <c r="I12" s="24">
        <f>IF(H12="","",H12*E12)</f>
        <v/>
      </c>
      <c r="J12" s="25">
        <f>IF(I12="","",I12/1000)</f>
        <v/>
      </c>
    </row>
    <row r="13">
      <c r="A13" s="33" t="n"/>
      <c r="B13" s="34" t="n"/>
      <c r="C13" s="35" t="n"/>
      <c r="D13" s="36" t="n"/>
      <c r="E13" s="37" t="n"/>
      <c r="F13" s="38">
        <f>IF(OR(C13="",D13="",E13=""),"",IF(E13&lt;=Coeficienti!$A$4,Coeficienti!$B$4,IF(E13&gt;=Coeficienti!$A$7,Coeficienti!$B$7,INDEX(Coeficienti!$B$4:$B$7,MATCH(E13,Coeficienti!$A$4:$A$7,1))+(E13-INDEX(Coeficienti!$A$4:$A$7,MATCH(E13,Coeficienti!$A$4:$A$7,1)))*(INDEX(Coeficienti!$B$4:$B$7,MATCH(E13,Coeficienti!$A$4:$A$7,1)+1)-INDEX(Coeficienti!$B$4:$B$7,MATCH(E13,Coeficienti!$A$4:$A$7,1)))/(INDEX(Coeficienti!$A$4:$A$7,MATCH(E13,Coeficienti!$A$4:$A$7,1)+1)-INDEX(Coeficienti!$A$4:$A$7,MATCH(E13,Coeficienti!$A$4:$A$7,1))))))</f>
        <v/>
      </c>
      <c r="G13" s="23">
        <f>IF(F13="","",1-F13*(D13-Coeficienti!$B$15))</f>
        <v/>
      </c>
      <c r="H13" s="24">
        <f>IF(G13="","",C13*G13)</f>
        <v/>
      </c>
      <c r="I13" s="24">
        <f>IF(H13="","",H13*E13)</f>
        <v/>
      </c>
      <c r="J13" s="25">
        <f>IF(I13="","",I13/1000)</f>
        <v/>
      </c>
    </row>
    <row r="14">
      <c r="A14" s="33" t="n"/>
      <c r="B14" s="34" t="n"/>
      <c r="C14" s="35" t="n"/>
      <c r="D14" s="36" t="n"/>
      <c r="E14" s="37" t="n"/>
      <c r="F14" s="38">
        <f>IF(OR(C14="",D14="",E14=""),"",IF(E14&lt;=Coeficienti!$A$4,Coeficienti!$B$4,IF(E14&gt;=Coeficienti!$A$7,Coeficienti!$B$7,INDEX(Coeficienti!$B$4:$B$7,MATCH(E14,Coeficienti!$A$4:$A$7,1))+(E14-INDEX(Coeficienti!$A$4:$A$7,MATCH(E14,Coeficienti!$A$4:$A$7,1)))*(INDEX(Coeficienti!$B$4:$B$7,MATCH(E14,Coeficienti!$A$4:$A$7,1)+1)-INDEX(Coeficienti!$B$4:$B$7,MATCH(E14,Coeficienti!$A$4:$A$7,1)))/(INDEX(Coeficienti!$A$4:$A$7,MATCH(E14,Coeficienti!$A$4:$A$7,1)+1)-INDEX(Coeficienti!$A$4:$A$7,MATCH(E14,Coeficienti!$A$4:$A$7,1))))))</f>
        <v/>
      </c>
      <c r="G14" s="23">
        <f>IF(F14="","",1-F14*(D14-Coeficienti!$B$15))</f>
        <v/>
      </c>
      <c r="H14" s="24">
        <f>IF(G14="","",C14*G14)</f>
        <v/>
      </c>
      <c r="I14" s="24">
        <f>IF(H14="","",H14*E14)</f>
        <v/>
      </c>
      <c r="J14" s="25">
        <f>IF(I14="","",I14/1000)</f>
        <v/>
      </c>
    </row>
    <row r="15">
      <c r="A15" s="33" t="n"/>
      <c r="B15" s="34" t="n"/>
      <c r="C15" s="35" t="n"/>
      <c r="D15" s="36" t="n"/>
      <c r="E15" s="37" t="n"/>
      <c r="F15" s="38">
        <f>IF(OR(C15="",D15="",E15=""),"",IF(E15&lt;=Coeficienti!$A$4,Coeficienti!$B$4,IF(E15&gt;=Coeficienti!$A$7,Coeficienti!$B$7,INDEX(Coeficienti!$B$4:$B$7,MATCH(E15,Coeficienti!$A$4:$A$7,1))+(E15-INDEX(Coeficienti!$A$4:$A$7,MATCH(E15,Coeficienti!$A$4:$A$7,1)))*(INDEX(Coeficienti!$B$4:$B$7,MATCH(E15,Coeficienti!$A$4:$A$7,1)+1)-INDEX(Coeficienti!$B$4:$B$7,MATCH(E15,Coeficienti!$A$4:$A$7,1)))/(INDEX(Coeficienti!$A$4:$A$7,MATCH(E15,Coeficienti!$A$4:$A$7,1)+1)-INDEX(Coeficienti!$A$4:$A$7,MATCH(E15,Coeficienti!$A$4:$A$7,1))))))</f>
        <v/>
      </c>
      <c r="G15" s="23">
        <f>IF(F15="","",1-F15*(D15-Coeficienti!$B$15))</f>
        <v/>
      </c>
      <c r="H15" s="24">
        <f>IF(G15="","",C15*G15)</f>
        <v/>
      </c>
      <c r="I15" s="24">
        <f>IF(H15="","",H15*E15)</f>
        <v/>
      </c>
      <c r="J15" s="25">
        <f>IF(I15="","",I15/1000)</f>
        <v/>
      </c>
    </row>
    <row r="16">
      <c r="A16" s="33" t="n"/>
      <c r="B16" s="34" t="n"/>
      <c r="C16" s="35" t="n"/>
      <c r="D16" s="36" t="n"/>
      <c r="E16" s="37" t="n"/>
      <c r="F16" s="38">
        <f>IF(OR(C16="",D16="",E16=""),"",IF(E16&lt;=Coeficienti!$A$4,Coeficienti!$B$4,IF(E16&gt;=Coeficienti!$A$7,Coeficienti!$B$7,INDEX(Coeficienti!$B$4:$B$7,MATCH(E16,Coeficienti!$A$4:$A$7,1))+(E16-INDEX(Coeficienti!$A$4:$A$7,MATCH(E16,Coeficienti!$A$4:$A$7,1)))*(INDEX(Coeficienti!$B$4:$B$7,MATCH(E16,Coeficienti!$A$4:$A$7,1)+1)-INDEX(Coeficienti!$B$4:$B$7,MATCH(E16,Coeficienti!$A$4:$A$7,1)))/(INDEX(Coeficienti!$A$4:$A$7,MATCH(E16,Coeficienti!$A$4:$A$7,1)+1)-INDEX(Coeficienti!$A$4:$A$7,MATCH(E16,Coeficienti!$A$4:$A$7,1))))))</f>
        <v/>
      </c>
      <c r="G16" s="23">
        <f>IF(F16="","",1-F16*(D16-Coeficienti!$B$15))</f>
        <v/>
      </c>
      <c r="H16" s="24">
        <f>IF(G16="","",C16*G16)</f>
        <v/>
      </c>
      <c r="I16" s="24">
        <f>IF(H16="","",H16*E16)</f>
        <v/>
      </c>
      <c r="J16" s="25">
        <f>IF(I16="","",I16/1000)</f>
        <v/>
      </c>
    </row>
    <row r="17">
      <c r="A17" s="33" t="n"/>
      <c r="B17" s="34" t="n"/>
      <c r="C17" s="35" t="n"/>
      <c r="D17" s="36" t="n"/>
      <c r="E17" s="37" t="n"/>
      <c r="F17" s="38">
        <f>IF(OR(C17="",D17="",E17=""),"",IF(E17&lt;=Coeficienti!$A$4,Coeficienti!$B$4,IF(E17&gt;=Coeficienti!$A$7,Coeficienti!$B$7,INDEX(Coeficienti!$B$4:$B$7,MATCH(E17,Coeficienti!$A$4:$A$7,1))+(E17-INDEX(Coeficienti!$A$4:$A$7,MATCH(E17,Coeficienti!$A$4:$A$7,1)))*(INDEX(Coeficienti!$B$4:$B$7,MATCH(E17,Coeficienti!$A$4:$A$7,1)+1)-INDEX(Coeficienti!$B$4:$B$7,MATCH(E17,Coeficienti!$A$4:$A$7,1)))/(INDEX(Coeficienti!$A$4:$A$7,MATCH(E17,Coeficienti!$A$4:$A$7,1)+1)-INDEX(Coeficienti!$A$4:$A$7,MATCH(E17,Coeficienti!$A$4:$A$7,1))))))</f>
        <v/>
      </c>
      <c r="G17" s="23">
        <f>IF(F17="","",1-F17*(D17-Coeficienti!$B$15))</f>
        <v/>
      </c>
      <c r="H17" s="24">
        <f>IF(G17="","",C17*G17)</f>
        <v/>
      </c>
      <c r="I17" s="24">
        <f>IF(H17="","",H17*E17)</f>
        <v/>
      </c>
      <c r="J17" s="25">
        <f>IF(I17="","",I17/1000)</f>
        <v/>
      </c>
    </row>
    <row r="18">
      <c r="A18" s="33" t="n"/>
      <c r="B18" s="34" t="n"/>
      <c r="C18" s="35" t="n"/>
      <c r="D18" s="36" t="n"/>
      <c r="E18" s="37" t="n"/>
      <c r="F18" s="38">
        <f>IF(OR(C18="",D18="",E18=""),"",IF(E18&lt;=Coeficienti!$A$4,Coeficienti!$B$4,IF(E18&gt;=Coeficienti!$A$7,Coeficienti!$B$7,INDEX(Coeficienti!$B$4:$B$7,MATCH(E18,Coeficienti!$A$4:$A$7,1))+(E18-INDEX(Coeficienti!$A$4:$A$7,MATCH(E18,Coeficienti!$A$4:$A$7,1)))*(INDEX(Coeficienti!$B$4:$B$7,MATCH(E18,Coeficienti!$A$4:$A$7,1)+1)-INDEX(Coeficienti!$B$4:$B$7,MATCH(E18,Coeficienti!$A$4:$A$7,1)))/(INDEX(Coeficienti!$A$4:$A$7,MATCH(E18,Coeficienti!$A$4:$A$7,1)+1)-INDEX(Coeficienti!$A$4:$A$7,MATCH(E18,Coeficienti!$A$4:$A$7,1))))))</f>
        <v/>
      </c>
      <c r="G18" s="23">
        <f>IF(F18="","",1-F18*(D18-Coeficienti!$B$15))</f>
        <v/>
      </c>
      <c r="H18" s="24">
        <f>IF(G18="","",C18*G18)</f>
        <v/>
      </c>
      <c r="I18" s="24">
        <f>IF(H18="","",H18*E18)</f>
        <v/>
      </c>
      <c r="J18" s="25">
        <f>IF(I18="","",I18/1000)</f>
        <v/>
      </c>
    </row>
    <row r="19">
      <c r="A19" s="33" t="n"/>
      <c r="B19" s="34" t="n"/>
      <c r="C19" s="35" t="n"/>
      <c r="D19" s="36" t="n"/>
      <c r="E19" s="37" t="n"/>
      <c r="F19" s="38">
        <f>IF(OR(C19="",D19="",E19=""),"",IF(E19&lt;=Coeficienti!$A$4,Coeficienti!$B$4,IF(E19&gt;=Coeficienti!$A$7,Coeficienti!$B$7,INDEX(Coeficienti!$B$4:$B$7,MATCH(E19,Coeficienti!$A$4:$A$7,1))+(E19-INDEX(Coeficienti!$A$4:$A$7,MATCH(E19,Coeficienti!$A$4:$A$7,1)))*(INDEX(Coeficienti!$B$4:$B$7,MATCH(E19,Coeficienti!$A$4:$A$7,1)+1)-INDEX(Coeficienti!$B$4:$B$7,MATCH(E19,Coeficienti!$A$4:$A$7,1)))/(INDEX(Coeficienti!$A$4:$A$7,MATCH(E19,Coeficienti!$A$4:$A$7,1)+1)-INDEX(Coeficienti!$A$4:$A$7,MATCH(E19,Coeficienti!$A$4:$A$7,1))))))</f>
        <v/>
      </c>
      <c r="G19" s="23">
        <f>IF(F19="","",1-F19*(D19-Coeficienti!$B$15))</f>
        <v/>
      </c>
      <c r="H19" s="24">
        <f>IF(G19="","",C19*G19)</f>
        <v/>
      </c>
      <c r="I19" s="24">
        <f>IF(H19="","",H19*E19)</f>
        <v/>
      </c>
      <c r="J19" s="25">
        <f>IF(I19="","",I19/1000)</f>
        <v/>
      </c>
    </row>
    <row r="20">
      <c r="A20" s="33" t="n"/>
      <c r="B20" s="34" t="n"/>
      <c r="C20" s="35" t="n"/>
      <c r="D20" s="36" t="n"/>
      <c r="E20" s="37" t="n"/>
      <c r="F20" s="38">
        <f>IF(OR(C20="",D20="",E20=""),"",IF(E20&lt;=Coeficienti!$A$4,Coeficienti!$B$4,IF(E20&gt;=Coeficienti!$A$7,Coeficienti!$B$7,INDEX(Coeficienti!$B$4:$B$7,MATCH(E20,Coeficienti!$A$4:$A$7,1))+(E20-INDEX(Coeficienti!$A$4:$A$7,MATCH(E20,Coeficienti!$A$4:$A$7,1)))*(INDEX(Coeficienti!$B$4:$B$7,MATCH(E20,Coeficienti!$A$4:$A$7,1)+1)-INDEX(Coeficienti!$B$4:$B$7,MATCH(E20,Coeficienti!$A$4:$A$7,1)))/(INDEX(Coeficienti!$A$4:$A$7,MATCH(E20,Coeficienti!$A$4:$A$7,1)+1)-INDEX(Coeficienti!$A$4:$A$7,MATCH(E20,Coeficienti!$A$4:$A$7,1))))))</f>
        <v/>
      </c>
      <c r="G20" s="23">
        <f>IF(F20="","",1-F20*(D20-Coeficienti!$B$15))</f>
        <v/>
      </c>
      <c r="H20" s="24">
        <f>IF(G20="","",C20*G20)</f>
        <v/>
      </c>
      <c r="I20" s="24">
        <f>IF(H20="","",H20*E20)</f>
        <v/>
      </c>
      <c r="J20" s="25">
        <f>IF(I20="","",I20/1000)</f>
        <v/>
      </c>
    </row>
    <row r="21">
      <c r="A21" s="33" t="n"/>
      <c r="B21" s="34" t="n"/>
      <c r="C21" s="35" t="n"/>
      <c r="D21" s="36" t="n"/>
      <c r="E21" s="37" t="n"/>
      <c r="F21" s="38">
        <f>IF(OR(C21="",D21="",E21=""),"",IF(E21&lt;=Coeficienti!$A$4,Coeficienti!$B$4,IF(E21&gt;=Coeficienti!$A$7,Coeficienti!$B$7,INDEX(Coeficienti!$B$4:$B$7,MATCH(E21,Coeficienti!$A$4:$A$7,1))+(E21-INDEX(Coeficienti!$A$4:$A$7,MATCH(E21,Coeficienti!$A$4:$A$7,1)))*(INDEX(Coeficienti!$B$4:$B$7,MATCH(E21,Coeficienti!$A$4:$A$7,1)+1)-INDEX(Coeficienti!$B$4:$B$7,MATCH(E21,Coeficienti!$A$4:$A$7,1)))/(INDEX(Coeficienti!$A$4:$A$7,MATCH(E21,Coeficienti!$A$4:$A$7,1)+1)-INDEX(Coeficienti!$A$4:$A$7,MATCH(E21,Coeficienti!$A$4:$A$7,1))))))</f>
        <v/>
      </c>
      <c r="G21" s="23">
        <f>IF(F21="","",1-F21*(D21-Coeficienti!$B$15))</f>
        <v/>
      </c>
      <c r="H21" s="24">
        <f>IF(G21="","",C21*G21)</f>
        <v/>
      </c>
      <c r="I21" s="24">
        <f>IF(H21="","",H21*E21)</f>
        <v/>
      </c>
      <c r="J21" s="25">
        <f>IF(I21="","",I21/1000)</f>
        <v/>
      </c>
    </row>
    <row r="22">
      <c r="A22" s="33" t="n"/>
      <c r="B22" s="34" t="n"/>
      <c r="C22" s="35" t="n"/>
      <c r="D22" s="36" t="n"/>
      <c r="E22" s="37" t="n"/>
      <c r="F22" s="38">
        <f>IF(OR(C22="",D22="",E22=""),"",IF(E22&lt;=Coeficienti!$A$4,Coeficienti!$B$4,IF(E22&gt;=Coeficienti!$A$7,Coeficienti!$B$7,INDEX(Coeficienti!$B$4:$B$7,MATCH(E22,Coeficienti!$A$4:$A$7,1))+(E22-INDEX(Coeficienti!$A$4:$A$7,MATCH(E22,Coeficienti!$A$4:$A$7,1)))*(INDEX(Coeficienti!$B$4:$B$7,MATCH(E22,Coeficienti!$A$4:$A$7,1)+1)-INDEX(Coeficienti!$B$4:$B$7,MATCH(E22,Coeficienti!$A$4:$A$7,1)))/(INDEX(Coeficienti!$A$4:$A$7,MATCH(E22,Coeficienti!$A$4:$A$7,1)+1)-INDEX(Coeficienti!$A$4:$A$7,MATCH(E22,Coeficienti!$A$4:$A$7,1))))))</f>
        <v/>
      </c>
      <c r="G22" s="23">
        <f>IF(F22="","",1-F22*(D22-Coeficienti!$B$15))</f>
        <v/>
      </c>
      <c r="H22" s="24">
        <f>IF(G22="","",C22*G22)</f>
        <v/>
      </c>
      <c r="I22" s="24">
        <f>IF(H22="","",H22*E22)</f>
        <v/>
      </c>
      <c r="J22" s="25">
        <f>IF(I22="","",I22/1000)</f>
        <v/>
      </c>
    </row>
    <row r="23">
      <c r="A23" s="33" t="n"/>
      <c r="B23" s="34" t="n"/>
      <c r="C23" s="35" t="n"/>
      <c r="D23" s="36" t="n"/>
      <c r="E23" s="37" t="n"/>
      <c r="F23" s="38">
        <f>IF(OR(C23="",D23="",E23=""),"",IF(E23&lt;=Coeficienti!$A$4,Coeficienti!$B$4,IF(E23&gt;=Coeficienti!$A$7,Coeficienti!$B$7,INDEX(Coeficienti!$B$4:$B$7,MATCH(E23,Coeficienti!$A$4:$A$7,1))+(E23-INDEX(Coeficienti!$A$4:$A$7,MATCH(E23,Coeficienti!$A$4:$A$7,1)))*(INDEX(Coeficienti!$B$4:$B$7,MATCH(E23,Coeficienti!$A$4:$A$7,1)+1)-INDEX(Coeficienti!$B$4:$B$7,MATCH(E23,Coeficienti!$A$4:$A$7,1)))/(INDEX(Coeficienti!$A$4:$A$7,MATCH(E23,Coeficienti!$A$4:$A$7,1)+1)-INDEX(Coeficienti!$A$4:$A$7,MATCH(E23,Coeficienti!$A$4:$A$7,1))))))</f>
        <v/>
      </c>
      <c r="G23" s="23">
        <f>IF(F23="","",1-F23*(D23-Coeficienti!$B$15))</f>
        <v/>
      </c>
      <c r="H23" s="24">
        <f>IF(G23="","",C23*G23)</f>
        <v/>
      </c>
      <c r="I23" s="24">
        <f>IF(H23="","",H23*E23)</f>
        <v/>
      </c>
      <c r="J23" s="25">
        <f>IF(I23="","",I23/1000)</f>
        <v/>
      </c>
    </row>
    <row r="24">
      <c r="A24" s="33" t="n"/>
      <c r="B24" s="34" t="n"/>
      <c r="C24" s="35" t="n"/>
      <c r="D24" s="36" t="n"/>
      <c r="E24" s="37" t="n"/>
      <c r="F24" s="38">
        <f>IF(OR(C24="",D24="",E24=""),"",IF(E24&lt;=Coeficienti!$A$4,Coeficienti!$B$4,IF(E24&gt;=Coeficienti!$A$7,Coeficienti!$B$7,INDEX(Coeficienti!$B$4:$B$7,MATCH(E24,Coeficienti!$A$4:$A$7,1))+(E24-INDEX(Coeficienti!$A$4:$A$7,MATCH(E24,Coeficienti!$A$4:$A$7,1)))*(INDEX(Coeficienti!$B$4:$B$7,MATCH(E24,Coeficienti!$A$4:$A$7,1)+1)-INDEX(Coeficienti!$B$4:$B$7,MATCH(E24,Coeficienti!$A$4:$A$7,1)))/(INDEX(Coeficienti!$A$4:$A$7,MATCH(E24,Coeficienti!$A$4:$A$7,1)+1)-INDEX(Coeficienti!$A$4:$A$7,MATCH(E24,Coeficienti!$A$4:$A$7,1))))))</f>
        <v/>
      </c>
      <c r="G24" s="23">
        <f>IF(F24="","",1-F24*(D24-Coeficienti!$B$15))</f>
        <v/>
      </c>
      <c r="H24" s="24">
        <f>IF(G24="","",C24*G24)</f>
        <v/>
      </c>
      <c r="I24" s="24">
        <f>IF(H24="","",H24*E24)</f>
        <v/>
      </c>
      <c r="J24" s="25">
        <f>IF(I24="","",I24/1000)</f>
        <v/>
      </c>
    </row>
    <row r="25">
      <c r="A25" s="33" t="n"/>
      <c r="B25" s="34" t="n"/>
      <c r="C25" s="35" t="n"/>
      <c r="D25" s="36" t="n"/>
      <c r="E25" s="37" t="n"/>
      <c r="F25" s="38">
        <f>IF(OR(C25="",D25="",E25=""),"",IF(E25&lt;=Coeficienti!$A$4,Coeficienti!$B$4,IF(E25&gt;=Coeficienti!$A$7,Coeficienti!$B$7,INDEX(Coeficienti!$B$4:$B$7,MATCH(E25,Coeficienti!$A$4:$A$7,1))+(E25-INDEX(Coeficienti!$A$4:$A$7,MATCH(E25,Coeficienti!$A$4:$A$7,1)))*(INDEX(Coeficienti!$B$4:$B$7,MATCH(E25,Coeficienti!$A$4:$A$7,1)+1)-INDEX(Coeficienti!$B$4:$B$7,MATCH(E25,Coeficienti!$A$4:$A$7,1)))/(INDEX(Coeficienti!$A$4:$A$7,MATCH(E25,Coeficienti!$A$4:$A$7,1)+1)-INDEX(Coeficienti!$A$4:$A$7,MATCH(E25,Coeficienti!$A$4:$A$7,1))))))</f>
        <v/>
      </c>
      <c r="G25" s="23">
        <f>IF(F25="","",1-F25*(D25-Coeficienti!$B$15))</f>
        <v/>
      </c>
      <c r="H25" s="24">
        <f>IF(G25="","",C25*G25)</f>
        <v/>
      </c>
      <c r="I25" s="24">
        <f>IF(H25="","",H25*E25)</f>
        <v/>
      </c>
      <c r="J25" s="25">
        <f>IF(I25="","",I25/1000)</f>
        <v/>
      </c>
    </row>
    <row r="26">
      <c r="A26" s="33" t="n"/>
      <c r="B26" s="34" t="n"/>
      <c r="C26" s="35" t="n"/>
      <c r="D26" s="36" t="n"/>
      <c r="E26" s="37" t="n"/>
      <c r="F26" s="38">
        <f>IF(OR(C26="",D26="",E26=""),"",IF(E26&lt;=Coeficienti!$A$4,Coeficienti!$B$4,IF(E26&gt;=Coeficienti!$A$7,Coeficienti!$B$7,INDEX(Coeficienti!$B$4:$B$7,MATCH(E26,Coeficienti!$A$4:$A$7,1))+(E26-INDEX(Coeficienti!$A$4:$A$7,MATCH(E26,Coeficienti!$A$4:$A$7,1)))*(INDEX(Coeficienti!$B$4:$B$7,MATCH(E26,Coeficienti!$A$4:$A$7,1)+1)-INDEX(Coeficienti!$B$4:$B$7,MATCH(E26,Coeficienti!$A$4:$A$7,1)))/(INDEX(Coeficienti!$A$4:$A$7,MATCH(E26,Coeficienti!$A$4:$A$7,1)+1)-INDEX(Coeficienti!$A$4:$A$7,MATCH(E26,Coeficienti!$A$4:$A$7,1))))))</f>
        <v/>
      </c>
      <c r="G26" s="23">
        <f>IF(F26="","",1-F26*(D26-Coeficienti!$B$15))</f>
        <v/>
      </c>
      <c r="H26" s="24">
        <f>IF(G26="","",C26*G26)</f>
        <v/>
      </c>
      <c r="I26" s="24">
        <f>IF(H26="","",H26*E26)</f>
        <v/>
      </c>
      <c r="J26" s="25">
        <f>IF(I26="","",I26/1000)</f>
        <v/>
      </c>
    </row>
    <row r="27">
      <c r="A27" s="33" t="n"/>
      <c r="B27" s="34" t="n"/>
      <c r="C27" s="35" t="n"/>
      <c r="D27" s="36" t="n"/>
      <c r="E27" s="37" t="n"/>
      <c r="F27" s="38">
        <f>IF(OR(C27="",D27="",E27=""),"",IF(E27&lt;=Coeficienti!$A$4,Coeficienti!$B$4,IF(E27&gt;=Coeficienti!$A$7,Coeficienti!$B$7,INDEX(Coeficienti!$B$4:$B$7,MATCH(E27,Coeficienti!$A$4:$A$7,1))+(E27-INDEX(Coeficienti!$A$4:$A$7,MATCH(E27,Coeficienti!$A$4:$A$7,1)))*(INDEX(Coeficienti!$B$4:$B$7,MATCH(E27,Coeficienti!$A$4:$A$7,1)+1)-INDEX(Coeficienti!$B$4:$B$7,MATCH(E27,Coeficienti!$A$4:$A$7,1)))/(INDEX(Coeficienti!$A$4:$A$7,MATCH(E27,Coeficienti!$A$4:$A$7,1)+1)-INDEX(Coeficienti!$A$4:$A$7,MATCH(E27,Coeficienti!$A$4:$A$7,1))))))</f>
        <v/>
      </c>
      <c r="G27" s="23">
        <f>IF(F27="","",1-F27*(D27-Coeficienti!$B$15))</f>
        <v/>
      </c>
      <c r="H27" s="24">
        <f>IF(G27="","",C27*G27)</f>
        <v/>
      </c>
      <c r="I27" s="24">
        <f>IF(H27="","",H27*E27)</f>
        <v/>
      </c>
      <c r="J27" s="25">
        <f>IF(I27="","",I27/1000)</f>
        <v/>
      </c>
    </row>
    <row r="28">
      <c r="A28" s="33" t="n"/>
      <c r="B28" s="34" t="n"/>
      <c r="C28" s="35" t="n"/>
      <c r="D28" s="36" t="n"/>
      <c r="E28" s="37" t="n"/>
      <c r="F28" s="38">
        <f>IF(OR(C28="",D28="",E28=""),"",IF(E28&lt;=Coeficienti!$A$4,Coeficienti!$B$4,IF(E28&gt;=Coeficienti!$A$7,Coeficienti!$B$7,INDEX(Coeficienti!$B$4:$B$7,MATCH(E28,Coeficienti!$A$4:$A$7,1))+(E28-INDEX(Coeficienti!$A$4:$A$7,MATCH(E28,Coeficienti!$A$4:$A$7,1)))*(INDEX(Coeficienti!$B$4:$B$7,MATCH(E28,Coeficienti!$A$4:$A$7,1)+1)-INDEX(Coeficienti!$B$4:$B$7,MATCH(E28,Coeficienti!$A$4:$A$7,1)))/(INDEX(Coeficienti!$A$4:$A$7,MATCH(E28,Coeficienti!$A$4:$A$7,1)+1)-INDEX(Coeficienti!$A$4:$A$7,MATCH(E28,Coeficienti!$A$4:$A$7,1))))))</f>
        <v/>
      </c>
      <c r="G28" s="23">
        <f>IF(F28="","",1-F28*(D28-Coeficienti!$B$15))</f>
        <v/>
      </c>
      <c r="H28" s="24">
        <f>IF(G28="","",C28*G28)</f>
        <v/>
      </c>
      <c r="I28" s="24">
        <f>IF(H28="","",H28*E28)</f>
        <v/>
      </c>
      <c r="J28" s="25">
        <f>IF(I28="","",I28/1000)</f>
        <v/>
      </c>
    </row>
    <row r="29">
      <c r="A29" s="33" t="n"/>
      <c r="B29" s="34" t="n"/>
      <c r="C29" s="35" t="n"/>
      <c r="D29" s="36" t="n"/>
      <c r="E29" s="37" t="n"/>
      <c r="F29" s="38">
        <f>IF(OR(C29="",D29="",E29=""),"",IF(E29&lt;=Coeficienti!$A$4,Coeficienti!$B$4,IF(E29&gt;=Coeficienti!$A$7,Coeficienti!$B$7,INDEX(Coeficienti!$B$4:$B$7,MATCH(E29,Coeficienti!$A$4:$A$7,1))+(E29-INDEX(Coeficienti!$A$4:$A$7,MATCH(E29,Coeficienti!$A$4:$A$7,1)))*(INDEX(Coeficienti!$B$4:$B$7,MATCH(E29,Coeficienti!$A$4:$A$7,1)+1)-INDEX(Coeficienti!$B$4:$B$7,MATCH(E29,Coeficienti!$A$4:$A$7,1)))/(INDEX(Coeficienti!$A$4:$A$7,MATCH(E29,Coeficienti!$A$4:$A$7,1)+1)-INDEX(Coeficienti!$A$4:$A$7,MATCH(E29,Coeficienti!$A$4:$A$7,1))))))</f>
        <v/>
      </c>
      <c r="G29" s="23">
        <f>IF(F29="","",1-F29*(D29-Coeficienti!$B$15))</f>
        <v/>
      </c>
      <c r="H29" s="24">
        <f>IF(G29="","",C29*G29)</f>
        <v/>
      </c>
      <c r="I29" s="24">
        <f>IF(H29="","",H29*E29)</f>
        <v/>
      </c>
      <c r="J29" s="25">
        <f>IF(I29="","",I29/1000)</f>
        <v/>
      </c>
    </row>
    <row r="30">
      <c r="A30" s="33" t="n"/>
      <c r="B30" s="34" t="n"/>
      <c r="C30" s="35" t="n"/>
      <c r="D30" s="36" t="n"/>
      <c r="E30" s="37" t="n"/>
      <c r="F30" s="38">
        <f>IF(OR(C30="",D30="",E30=""),"",IF(E30&lt;=Coeficienti!$A$4,Coeficienti!$B$4,IF(E30&gt;=Coeficienti!$A$7,Coeficienti!$B$7,INDEX(Coeficienti!$B$4:$B$7,MATCH(E30,Coeficienti!$A$4:$A$7,1))+(E30-INDEX(Coeficienti!$A$4:$A$7,MATCH(E30,Coeficienti!$A$4:$A$7,1)))*(INDEX(Coeficienti!$B$4:$B$7,MATCH(E30,Coeficienti!$A$4:$A$7,1)+1)-INDEX(Coeficienti!$B$4:$B$7,MATCH(E30,Coeficienti!$A$4:$A$7,1)))/(INDEX(Coeficienti!$A$4:$A$7,MATCH(E30,Coeficienti!$A$4:$A$7,1)+1)-INDEX(Coeficienti!$A$4:$A$7,MATCH(E30,Coeficienti!$A$4:$A$7,1))))))</f>
        <v/>
      </c>
      <c r="G30" s="23">
        <f>IF(F30="","",1-F30*(D30-Coeficienti!$B$15))</f>
        <v/>
      </c>
      <c r="H30" s="24">
        <f>IF(G30="","",C30*G30)</f>
        <v/>
      </c>
      <c r="I30" s="24">
        <f>IF(H30="","",H30*E30)</f>
        <v/>
      </c>
      <c r="J30" s="25">
        <f>IF(I30="","",I30/1000)</f>
        <v/>
      </c>
    </row>
    <row r="31">
      <c r="A31" s="33" t="n"/>
      <c r="B31" s="34" t="n"/>
      <c r="C31" s="35" t="n"/>
      <c r="D31" s="36" t="n"/>
      <c r="E31" s="37" t="n"/>
      <c r="F31" s="38">
        <f>IF(OR(C31="",D31="",E31=""),"",IF(E31&lt;=Coeficienti!$A$4,Coeficienti!$B$4,IF(E31&gt;=Coeficienti!$A$7,Coeficienti!$B$7,INDEX(Coeficienti!$B$4:$B$7,MATCH(E31,Coeficienti!$A$4:$A$7,1))+(E31-INDEX(Coeficienti!$A$4:$A$7,MATCH(E31,Coeficienti!$A$4:$A$7,1)))*(INDEX(Coeficienti!$B$4:$B$7,MATCH(E31,Coeficienti!$A$4:$A$7,1)+1)-INDEX(Coeficienti!$B$4:$B$7,MATCH(E31,Coeficienti!$A$4:$A$7,1)))/(INDEX(Coeficienti!$A$4:$A$7,MATCH(E31,Coeficienti!$A$4:$A$7,1)+1)-INDEX(Coeficienti!$A$4:$A$7,MATCH(E31,Coeficienti!$A$4:$A$7,1))))))</f>
        <v/>
      </c>
      <c r="G31" s="23">
        <f>IF(F31="","",1-F31*(D31-Coeficienti!$B$15))</f>
        <v/>
      </c>
      <c r="H31" s="24">
        <f>IF(G31="","",C31*G31)</f>
        <v/>
      </c>
      <c r="I31" s="24">
        <f>IF(H31="","",H31*E31)</f>
        <v/>
      </c>
      <c r="J31" s="25">
        <f>IF(I31="","",I31/1000)</f>
        <v/>
      </c>
    </row>
    <row r="32">
      <c r="A32" s="33" t="n"/>
      <c r="B32" s="34" t="n"/>
      <c r="C32" s="35" t="n"/>
      <c r="D32" s="36" t="n"/>
      <c r="E32" s="37" t="n"/>
      <c r="F32" s="38">
        <f>IF(OR(C32="",D32="",E32=""),"",IF(E32&lt;=Coeficienti!$A$4,Coeficienti!$B$4,IF(E32&gt;=Coeficienti!$A$7,Coeficienti!$B$7,INDEX(Coeficienti!$B$4:$B$7,MATCH(E32,Coeficienti!$A$4:$A$7,1))+(E32-INDEX(Coeficienti!$A$4:$A$7,MATCH(E32,Coeficienti!$A$4:$A$7,1)))*(INDEX(Coeficienti!$B$4:$B$7,MATCH(E32,Coeficienti!$A$4:$A$7,1)+1)-INDEX(Coeficienti!$B$4:$B$7,MATCH(E32,Coeficienti!$A$4:$A$7,1)))/(INDEX(Coeficienti!$A$4:$A$7,MATCH(E32,Coeficienti!$A$4:$A$7,1)+1)-INDEX(Coeficienti!$A$4:$A$7,MATCH(E32,Coeficienti!$A$4:$A$7,1))))))</f>
        <v/>
      </c>
      <c r="G32" s="23">
        <f>IF(F32="","",1-F32*(D32-Coeficienti!$B$15))</f>
        <v/>
      </c>
      <c r="H32" s="24">
        <f>IF(G32="","",C32*G32)</f>
        <v/>
      </c>
      <c r="I32" s="24">
        <f>IF(H32="","",H32*E32)</f>
        <v/>
      </c>
      <c r="J32" s="25">
        <f>IF(I32="","",I32/1000)</f>
        <v/>
      </c>
    </row>
    <row r="33">
      <c r="A33" s="33" t="n"/>
      <c r="B33" s="34" t="n"/>
      <c r="C33" s="35" t="n"/>
      <c r="D33" s="36" t="n"/>
      <c r="E33" s="37" t="n"/>
      <c r="F33" s="38">
        <f>IF(OR(C33="",D33="",E33=""),"",IF(E33&lt;=Coeficienti!$A$4,Coeficienti!$B$4,IF(E33&gt;=Coeficienti!$A$7,Coeficienti!$B$7,INDEX(Coeficienti!$B$4:$B$7,MATCH(E33,Coeficienti!$A$4:$A$7,1))+(E33-INDEX(Coeficienti!$A$4:$A$7,MATCH(E33,Coeficienti!$A$4:$A$7,1)))*(INDEX(Coeficienti!$B$4:$B$7,MATCH(E33,Coeficienti!$A$4:$A$7,1)+1)-INDEX(Coeficienti!$B$4:$B$7,MATCH(E33,Coeficienti!$A$4:$A$7,1)))/(INDEX(Coeficienti!$A$4:$A$7,MATCH(E33,Coeficienti!$A$4:$A$7,1)+1)-INDEX(Coeficienti!$A$4:$A$7,MATCH(E33,Coeficienti!$A$4:$A$7,1))))))</f>
        <v/>
      </c>
      <c r="G33" s="23">
        <f>IF(F33="","",1-F33*(D33-Coeficienti!$B$15))</f>
        <v/>
      </c>
      <c r="H33" s="24">
        <f>IF(G33="","",C33*G33)</f>
        <v/>
      </c>
      <c r="I33" s="24">
        <f>IF(H33="","",H33*E33)</f>
        <v/>
      </c>
      <c r="J33" s="25">
        <f>IF(I33="","",I33/1000)</f>
        <v/>
      </c>
    </row>
    <row r="34">
      <c r="A34" s="33" t="n"/>
      <c r="B34" s="34" t="n"/>
      <c r="C34" s="35" t="n"/>
      <c r="D34" s="36" t="n"/>
      <c r="E34" s="37" t="n"/>
      <c r="F34" s="38">
        <f>IF(OR(C34="",D34="",E34=""),"",IF(E34&lt;=Coeficienti!$A$4,Coeficienti!$B$4,IF(E34&gt;=Coeficienti!$A$7,Coeficienti!$B$7,INDEX(Coeficienti!$B$4:$B$7,MATCH(E34,Coeficienti!$A$4:$A$7,1))+(E34-INDEX(Coeficienti!$A$4:$A$7,MATCH(E34,Coeficienti!$A$4:$A$7,1)))*(INDEX(Coeficienti!$B$4:$B$7,MATCH(E34,Coeficienti!$A$4:$A$7,1)+1)-INDEX(Coeficienti!$B$4:$B$7,MATCH(E34,Coeficienti!$A$4:$A$7,1)))/(INDEX(Coeficienti!$A$4:$A$7,MATCH(E34,Coeficienti!$A$4:$A$7,1)+1)-INDEX(Coeficienti!$A$4:$A$7,MATCH(E34,Coeficienti!$A$4:$A$7,1))))))</f>
        <v/>
      </c>
      <c r="G34" s="23">
        <f>IF(F34="","",1-F34*(D34-Coeficienti!$B$15))</f>
        <v/>
      </c>
      <c r="H34" s="24">
        <f>IF(G34="","",C34*G34)</f>
        <v/>
      </c>
      <c r="I34" s="24">
        <f>IF(H34="","",H34*E34)</f>
        <v/>
      </c>
      <c r="J34" s="25">
        <f>IF(I34="","",I34/1000)</f>
        <v/>
      </c>
    </row>
    <row r="35">
      <c r="A35" s="33" t="n"/>
      <c r="B35" s="34" t="n"/>
      <c r="C35" s="35" t="n"/>
      <c r="D35" s="36" t="n"/>
      <c r="E35" s="37" t="n"/>
      <c r="F35" s="38">
        <f>IF(OR(C35="",D35="",E35=""),"",IF(E35&lt;=Coeficienti!$A$4,Coeficienti!$B$4,IF(E35&gt;=Coeficienti!$A$7,Coeficienti!$B$7,INDEX(Coeficienti!$B$4:$B$7,MATCH(E35,Coeficienti!$A$4:$A$7,1))+(E35-INDEX(Coeficienti!$A$4:$A$7,MATCH(E35,Coeficienti!$A$4:$A$7,1)))*(INDEX(Coeficienti!$B$4:$B$7,MATCH(E35,Coeficienti!$A$4:$A$7,1)+1)-INDEX(Coeficienti!$B$4:$B$7,MATCH(E35,Coeficienti!$A$4:$A$7,1)))/(INDEX(Coeficienti!$A$4:$A$7,MATCH(E35,Coeficienti!$A$4:$A$7,1)+1)-INDEX(Coeficienti!$A$4:$A$7,MATCH(E35,Coeficienti!$A$4:$A$7,1))))))</f>
        <v/>
      </c>
      <c r="G35" s="23">
        <f>IF(F35="","",1-F35*(D35-Coeficienti!$B$15))</f>
        <v/>
      </c>
      <c r="H35" s="24">
        <f>IF(G35="","",C35*G35)</f>
        <v/>
      </c>
      <c r="I35" s="24">
        <f>IF(H35="","",H35*E35)</f>
        <v/>
      </c>
      <c r="J35" s="25">
        <f>IF(I35="","",I35/1000)</f>
        <v/>
      </c>
    </row>
    <row r="36">
      <c r="A36" s="33" t="n"/>
      <c r="B36" s="34" t="n"/>
      <c r="C36" s="35" t="n"/>
      <c r="D36" s="36" t="n"/>
      <c r="E36" s="37" t="n"/>
      <c r="F36" s="38">
        <f>IF(OR(C36="",D36="",E36=""),"",IF(E36&lt;=Coeficienti!$A$4,Coeficienti!$B$4,IF(E36&gt;=Coeficienti!$A$7,Coeficienti!$B$7,INDEX(Coeficienti!$B$4:$B$7,MATCH(E36,Coeficienti!$A$4:$A$7,1))+(E36-INDEX(Coeficienti!$A$4:$A$7,MATCH(E36,Coeficienti!$A$4:$A$7,1)))*(INDEX(Coeficienti!$B$4:$B$7,MATCH(E36,Coeficienti!$A$4:$A$7,1)+1)-INDEX(Coeficienti!$B$4:$B$7,MATCH(E36,Coeficienti!$A$4:$A$7,1)))/(INDEX(Coeficienti!$A$4:$A$7,MATCH(E36,Coeficienti!$A$4:$A$7,1)+1)-INDEX(Coeficienti!$A$4:$A$7,MATCH(E36,Coeficienti!$A$4:$A$7,1))))))</f>
        <v/>
      </c>
      <c r="G36" s="23">
        <f>IF(F36="","",1-F36*(D36-Coeficienti!$B$15))</f>
        <v/>
      </c>
      <c r="H36" s="24">
        <f>IF(G36="","",C36*G36)</f>
        <v/>
      </c>
      <c r="I36" s="24">
        <f>IF(H36="","",H36*E36)</f>
        <v/>
      </c>
      <c r="J36" s="25">
        <f>IF(I36="","",I36/1000)</f>
        <v/>
      </c>
    </row>
    <row r="37">
      <c r="A37" s="33" t="n"/>
      <c r="B37" s="34" t="n"/>
      <c r="C37" s="35" t="n"/>
      <c r="D37" s="36" t="n"/>
      <c r="E37" s="37" t="n"/>
      <c r="F37" s="38">
        <f>IF(OR(C37="",D37="",E37=""),"",IF(E37&lt;=Coeficienti!$A$4,Coeficienti!$B$4,IF(E37&gt;=Coeficienti!$A$7,Coeficienti!$B$7,INDEX(Coeficienti!$B$4:$B$7,MATCH(E37,Coeficienti!$A$4:$A$7,1))+(E37-INDEX(Coeficienti!$A$4:$A$7,MATCH(E37,Coeficienti!$A$4:$A$7,1)))*(INDEX(Coeficienti!$B$4:$B$7,MATCH(E37,Coeficienti!$A$4:$A$7,1)+1)-INDEX(Coeficienti!$B$4:$B$7,MATCH(E37,Coeficienti!$A$4:$A$7,1)))/(INDEX(Coeficienti!$A$4:$A$7,MATCH(E37,Coeficienti!$A$4:$A$7,1)+1)-INDEX(Coeficienti!$A$4:$A$7,MATCH(E37,Coeficienti!$A$4:$A$7,1))))))</f>
        <v/>
      </c>
      <c r="G37" s="23">
        <f>IF(F37="","",1-F37*(D37-Coeficienti!$B$15))</f>
        <v/>
      </c>
      <c r="H37" s="24">
        <f>IF(G37="","",C37*G37)</f>
        <v/>
      </c>
      <c r="I37" s="24">
        <f>IF(H37="","",H37*E37)</f>
        <v/>
      </c>
      <c r="J37" s="25">
        <f>IF(I37="","",I37/1000)</f>
        <v/>
      </c>
    </row>
    <row r="38">
      <c r="A38" s="33" t="n"/>
      <c r="B38" s="34" t="n"/>
      <c r="C38" s="35" t="n"/>
      <c r="D38" s="36" t="n"/>
      <c r="E38" s="37" t="n"/>
      <c r="F38" s="38">
        <f>IF(OR(C38="",D38="",E38=""),"",IF(E38&lt;=Coeficienti!$A$4,Coeficienti!$B$4,IF(E38&gt;=Coeficienti!$A$7,Coeficienti!$B$7,INDEX(Coeficienti!$B$4:$B$7,MATCH(E38,Coeficienti!$A$4:$A$7,1))+(E38-INDEX(Coeficienti!$A$4:$A$7,MATCH(E38,Coeficienti!$A$4:$A$7,1)))*(INDEX(Coeficienti!$B$4:$B$7,MATCH(E38,Coeficienti!$A$4:$A$7,1)+1)-INDEX(Coeficienti!$B$4:$B$7,MATCH(E38,Coeficienti!$A$4:$A$7,1)))/(INDEX(Coeficienti!$A$4:$A$7,MATCH(E38,Coeficienti!$A$4:$A$7,1)+1)-INDEX(Coeficienti!$A$4:$A$7,MATCH(E38,Coeficienti!$A$4:$A$7,1))))))</f>
        <v/>
      </c>
      <c r="G38" s="23">
        <f>IF(F38="","",1-F38*(D38-Coeficienti!$B$15))</f>
        <v/>
      </c>
      <c r="H38" s="24">
        <f>IF(G38="","",C38*G38)</f>
        <v/>
      </c>
      <c r="I38" s="24">
        <f>IF(H38="","",H38*E38)</f>
        <v/>
      </c>
      <c r="J38" s="25">
        <f>IF(I38="","",I38/1000)</f>
        <v/>
      </c>
    </row>
    <row r="39">
      <c r="A39" s="33" t="n"/>
      <c r="B39" s="34" t="n"/>
      <c r="C39" s="35" t="n"/>
      <c r="D39" s="36" t="n"/>
      <c r="E39" s="37" t="n"/>
      <c r="F39" s="38">
        <f>IF(OR(C39="",D39="",E39=""),"",IF(E39&lt;=Coeficienti!$A$4,Coeficienti!$B$4,IF(E39&gt;=Coeficienti!$A$7,Coeficienti!$B$7,INDEX(Coeficienti!$B$4:$B$7,MATCH(E39,Coeficienti!$A$4:$A$7,1))+(E39-INDEX(Coeficienti!$A$4:$A$7,MATCH(E39,Coeficienti!$A$4:$A$7,1)))*(INDEX(Coeficienti!$B$4:$B$7,MATCH(E39,Coeficienti!$A$4:$A$7,1)+1)-INDEX(Coeficienti!$B$4:$B$7,MATCH(E39,Coeficienti!$A$4:$A$7,1)))/(INDEX(Coeficienti!$A$4:$A$7,MATCH(E39,Coeficienti!$A$4:$A$7,1)+1)-INDEX(Coeficienti!$A$4:$A$7,MATCH(E39,Coeficienti!$A$4:$A$7,1))))))</f>
        <v/>
      </c>
      <c r="G39" s="23">
        <f>IF(F39="","",1-F39*(D39-Coeficienti!$B$15))</f>
        <v/>
      </c>
      <c r="H39" s="24">
        <f>IF(G39="","",C39*G39)</f>
        <v/>
      </c>
      <c r="I39" s="24">
        <f>IF(H39="","",H39*E39)</f>
        <v/>
      </c>
      <c r="J39" s="25">
        <f>IF(I39="","",I39/1000)</f>
        <v/>
      </c>
    </row>
    <row r="40">
      <c r="A40" s="33" t="n"/>
      <c r="B40" s="34" t="n"/>
      <c r="C40" s="35" t="n"/>
      <c r="D40" s="36" t="n"/>
      <c r="E40" s="37" t="n"/>
      <c r="F40" s="38">
        <f>IF(OR(C40="",D40="",E40=""),"",IF(E40&lt;=Coeficienti!$A$4,Coeficienti!$B$4,IF(E40&gt;=Coeficienti!$A$7,Coeficienti!$B$7,INDEX(Coeficienti!$B$4:$B$7,MATCH(E40,Coeficienti!$A$4:$A$7,1))+(E40-INDEX(Coeficienti!$A$4:$A$7,MATCH(E40,Coeficienti!$A$4:$A$7,1)))*(INDEX(Coeficienti!$B$4:$B$7,MATCH(E40,Coeficienti!$A$4:$A$7,1)+1)-INDEX(Coeficienti!$B$4:$B$7,MATCH(E40,Coeficienti!$A$4:$A$7,1)))/(INDEX(Coeficienti!$A$4:$A$7,MATCH(E40,Coeficienti!$A$4:$A$7,1)+1)-INDEX(Coeficienti!$A$4:$A$7,MATCH(E40,Coeficienti!$A$4:$A$7,1))))))</f>
        <v/>
      </c>
      <c r="G40" s="23">
        <f>IF(F40="","",1-F40*(D40-Coeficienti!$B$15))</f>
        <v/>
      </c>
      <c r="H40" s="24">
        <f>IF(G40="","",C40*G40)</f>
        <v/>
      </c>
      <c r="I40" s="24">
        <f>IF(H40="","",H40*E40)</f>
        <v/>
      </c>
      <c r="J40" s="25">
        <f>IF(I40="","",I40/1000)</f>
        <v/>
      </c>
    </row>
    <row r="41">
      <c r="A41" s="33" t="n"/>
      <c r="B41" s="34" t="n"/>
      <c r="C41" s="35" t="n"/>
      <c r="D41" s="36" t="n"/>
      <c r="E41" s="37" t="n"/>
      <c r="F41" s="38">
        <f>IF(OR(C41="",D41="",E41=""),"",IF(E41&lt;=Coeficienti!$A$4,Coeficienti!$B$4,IF(E41&gt;=Coeficienti!$A$7,Coeficienti!$B$7,INDEX(Coeficienti!$B$4:$B$7,MATCH(E41,Coeficienti!$A$4:$A$7,1))+(E41-INDEX(Coeficienti!$A$4:$A$7,MATCH(E41,Coeficienti!$A$4:$A$7,1)))*(INDEX(Coeficienti!$B$4:$B$7,MATCH(E41,Coeficienti!$A$4:$A$7,1)+1)-INDEX(Coeficienti!$B$4:$B$7,MATCH(E41,Coeficienti!$A$4:$A$7,1)))/(INDEX(Coeficienti!$A$4:$A$7,MATCH(E41,Coeficienti!$A$4:$A$7,1)+1)-INDEX(Coeficienti!$A$4:$A$7,MATCH(E41,Coeficienti!$A$4:$A$7,1))))))</f>
        <v/>
      </c>
      <c r="G41" s="23">
        <f>IF(F41="","",1-F41*(D41-Coeficienti!$B$15))</f>
        <v/>
      </c>
      <c r="H41" s="24">
        <f>IF(G41="","",C41*G41)</f>
        <v/>
      </c>
      <c r="I41" s="24">
        <f>IF(H41="","",H41*E41)</f>
        <v/>
      </c>
      <c r="J41" s="25">
        <f>IF(I41="","",I41/1000)</f>
        <v/>
      </c>
    </row>
    <row r="42">
      <c r="A42" s="33" t="n"/>
      <c r="B42" s="34" t="n"/>
      <c r="C42" s="35" t="n"/>
      <c r="D42" s="36" t="n"/>
      <c r="E42" s="37" t="n"/>
      <c r="F42" s="38">
        <f>IF(OR(C42="",D42="",E42=""),"",IF(E42&lt;=Coeficienti!$A$4,Coeficienti!$B$4,IF(E42&gt;=Coeficienti!$A$7,Coeficienti!$B$7,INDEX(Coeficienti!$B$4:$B$7,MATCH(E42,Coeficienti!$A$4:$A$7,1))+(E42-INDEX(Coeficienti!$A$4:$A$7,MATCH(E42,Coeficienti!$A$4:$A$7,1)))*(INDEX(Coeficienti!$B$4:$B$7,MATCH(E42,Coeficienti!$A$4:$A$7,1)+1)-INDEX(Coeficienti!$B$4:$B$7,MATCH(E42,Coeficienti!$A$4:$A$7,1)))/(INDEX(Coeficienti!$A$4:$A$7,MATCH(E42,Coeficienti!$A$4:$A$7,1)+1)-INDEX(Coeficienti!$A$4:$A$7,MATCH(E42,Coeficienti!$A$4:$A$7,1))))))</f>
        <v/>
      </c>
      <c r="G42" s="23">
        <f>IF(F42="","",1-F42*(D42-Coeficienti!$B$15))</f>
        <v/>
      </c>
      <c r="H42" s="24">
        <f>IF(G42="","",C42*G42)</f>
        <v/>
      </c>
      <c r="I42" s="24">
        <f>IF(H42="","",H42*E42)</f>
        <v/>
      </c>
      <c r="J42" s="25">
        <f>IF(I42="","",I42/1000)</f>
        <v/>
      </c>
    </row>
    <row r="43">
      <c r="A43" s="33" t="n"/>
      <c r="B43" s="34" t="n"/>
      <c r="C43" s="35" t="n"/>
      <c r="D43" s="36" t="n"/>
      <c r="E43" s="37" t="n"/>
      <c r="F43" s="38">
        <f>IF(OR(C43="",D43="",E43=""),"",IF(E43&lt;=Coeficienti!$A$4,Coeficienti!$B$4,IF(E43&gt;=Coeficienti!$A$7,Coeficienti!$B$7,INDEX(Coeficienti!$B$4:$B$7,MATCH(E43,Coeficienti!$A$4:$A$7,1))+(E43-INDEX(Coeficienti!$A$4:$A$7,MATCH(E43,Coeficienti!$A$4:$A$7,1)))*(INDEX(Coeficienti!$B$4:$B$7,MATCH(E43,Coeficienti!$A$4:$A$7,1)+1)-INDEX(Coeficienti!$B$4:$B$7,MATCH(E43,Coeficienti!$A$4:$A$7,1)))/(INDEX(Coeficienti!$A$4:$A$7,MATCH(E43,Coeficienti!$A$4:$A$7,1)+1)-INDEX(Coeficienti!$A$4:$A$7,MATCH(E43,Coeficienti!$A$4:$A$7,1))))))</f>
        <v/>
      </c>
      <c r="G43" s="23">
        <f>IF(F43="","",1-F43*(D43-Coeficienti!$B$15))</f>
        <v/>
      </c>
      <c r="H43" s="24">
        <f>IF(G43="","",C43*G43)</f>
        <v/>
      </c>
      <c r="I43" s="24">
        <f>IF(H43="","",H43*E43)</f>
        <v/>
      </c>
      <c r="J43" s="25">
        <f>IF(I43="","",I43/1000)</f>
        <v/>
      </c>
    </row>
    <row r="44">
      <c r="A44" s="33" t="n"/>
      <c r="B44" s="34" t="n"/>
      <c r="C44" s="35" t="n"/>
      <c r="D44" s="36" t="n"/>
      <c r="E44" s="37" t="n"/>
      <c r="F44" s="38">
        <f>IF(OR(C44="",D44="",E44=""),"",IF(E44&lt;=Coeficienti!$A$4,Coeficienti!$B$4,IF(E44&gt;=Coeficienti!$A$7,Coeficienti!$B$7,INDEX(Coeficienti!$B$4:$B$7,MATCH(E44,Coeficienti!$A$4:$A$7,1))+(E44-INDEX(Coeficienti!$A$4:$A$7,MATCH(E44,Coeficienti!$A$4:$A$7,1)))*(INDEX(Coeficienti!$B$4:$B$7,MATCH(E44,Coeficienti!$A$4:$A$7,1)+1)-INDEX(Coeficienti!$B$4:$B$7,MATCH(E44,Coeficienti!$A$4:$A$7,1)))/(INDEX(Coeficienti!$A$4:$A$7,MATCH(E44,Coeficienti!$A$4:$A$7,1)+1)-INDEX(Coeficienti!$A$4:$A$7,MATCH(E44,Coeficienti!$A$4:$A$7,1))))))</f>
        <v/>
      </c>
      <c r="G44" s="23">
        <f>IF(F44="","",1-F44*(D44-Coeficienti!$B$15))</f>
        <v/>
      </c>
      <c r="H44" s="24">
        <f>IF(G44="","",C44*G44)</f>
        <v/>
      </c>
      <c r="I44" s="24">
        <f>IF(H44="","",H44*E44)</f>
        <v/>
      </c>
      <c r="J44" s="25">
        <f>IF(I44="","",I44/1000)</f>
        <v/>
      </c>
    </row>
    <row r="45">
      <c r="A45" s="33" t="n"/>
      <c r="B45" s="34" t="n"/>
      <c r="C45" s="35" t="n"/>
      <c r="D45" s="36" t="n"/>
      <c r="E45" s="37" t="n"/>
      <c r="F45" s="38">
        <f>IF(OR(C45="",D45="",E45=""),"",IF(E45&lt;=Coeficienti!$A$4,Coeficienti!$B$4,IF(E45&gt;=Coeficienti!$A$7,Coeficienti!$B$7,INDEX(Coeficienti!$B$4:$B$7,MATCH(E45,Coeficienti!$A$4:$A$7,1))+(E45-INDEX(Coeficienti!$A$4:$A$7,MATCH(E45,Coeficienti!$A$4:$A$7,1)))*(INDEX(Coeficienti!$B$4:$B$7,MATCH(E45,Coeficienti!$A$4:$A$7,1)+1)-INDEX(Coeficienti!$B$4:$B$7,MATCH(E45,Coeficienti!$A$4:$A$7,1)))/(INDEX(Coeficienti!$A$4:$A$7,MATCH(E45,Coeficienti!$A$4:$A$7,1)+1)-INDEX(Coeficienti!$A$4:$A$7,MATCH(E45,Coeficienti!$A$4:$A$7,1))))))</f>
        <v/>
      </c>
      <c r="G45" s="23">
        <f>IF(F45="","",1-F45*(D45-Coeficienti!$B$15))</f>
        <v/>
      </c>
      <c r="H45" s="24">
        <f>IF(G45="","",C45*G45)</f>
        <v/>
      </c>
      <c r="I45" s="24">
        <f>IF(H45="","",H45*E45)</f>
        <v/>
      </c>
      <c r="J45" s="25">
        <f>IF(I45="","",I45/1000)</f>
        <v/>
      </c>
    </row>
    <row r="46">
      <c r="A46" s="33" t="n"/>
      <c r="B46" s="34" t="n"/>
      <c r="C46" s="35" t="n"/>
      <c r="D46" s="36" t="n"/>
      <c r="E46" s="37" t="n"/>
      <c r="F46" s="38">
        <f>IF(OR(C46="",D46="",E46=""),"",IF(E46&lt;=Coeficienti!$A$4,Coeficienti!$B$4,IF(E46&gt;=Coeficienti!$A$7,Coeficienti!$B$7,INDEX(Coeficienti!$B$4:$B$7,MATCH(E46,Coeficienti!$A$4:$A$7,1))+(E46-INDEX(Coeficienti!$A$4:$A$7,MATCH(E46,Coeficienti!$A$4:$A$7,1)))*(INDEX(Coeficienti!$B$4:$B$7,MATCH(E46,Coeficienti!$A$4:$A$7,1)+1)-INDEX(Coeficienti!$B$4:$B$7,MATCH(E46,Coeficienti!$A$4:$A$7,1)))/(INDEX(Coeficienti!$A$4:$A$7,MATCH(E46,Coeficienti!$A$4:$A$7,1)+1)-INDEX(Coeficienti!$A$4:$A$7,MATCH(E46,Coeficienti!$A$4:$A$7,1))))))</f>
        <v/>
      </c>
      <c r="G46" s="23">
        <f>IF(F46="","",1-F46*(D46-Coeficienti!$B$15))</f>
        <v/>
      </c>
      <c r="H46" s="24">
        <f>IF(G46="","",C46*G46)</f>
        <v/>
      </c>
      <c r="I46" s="24">
        <f>IF(H46="","",H46*E46)</f>
        <v/>
      </c>
      <c r="J46" s="25">
        <f>IF(I46="","",I46/1000)</f>
        <v/>
      </c>
    </row>
    <row r="47">
      <c r="A47" s="33" t="n"/>
      <c r="B47" s="34" t="n"/>
      <c r="C47" s="35" t="n"/>
      <c r="D47" s="36" t="n"/>
      <c r="E47" s="37" t="n"/>
      <c r="F47" s="38">
        <f>IF(OR(C47="",D47="",E47=""),"",IF(E47&lt;=Coeficienti!$A$4,Coeficienti!$B$4,IF(E47&gt;=Coeficienti!$A$7,Coeficienti!$B$7,INDEX(Coeficienti!$B$4:$B$7,MATCH(E47,Coeficienti!$A$4:$A$7,1))+(E47-INDEX(Coeficienti!$A$4:$A$7,MATCH(E47,Coeficienti!$A$4:$A$7,1)))*(INDEX(Coeficienti!$B$4:$B$7,MATCH(E47,Coeficienti!$A$4:$A$7,1)+1)-INDEX(Coeficienti!$B$4:$B$7,MATCH(E47,Coeficienti!$A$4:$A$7,1)))/(INDEX(Coeficienti!$A$4:$A$7,MATCH(E47,Coeficienti!$A$4:$A$7,1)+1)-INDEX(Coeficienti!$A$4:$A$7,MATCH(E47,Coeficienti!$A$4:$A$7,1))))))</f>
        <v/>
      </c>
      <c r="G47" s="23">
        <f>IF(F47="","",1-F47*(D47-Coeficienti!$B$15))</f>
        <v/>
      </c>
      <c r="H47" s="24">
        <f>IF(G47="","",C47*G47)</f>
        <v/>
      </c>
      <c r="I47" s="24">
        <f>IF(H47="","",H47*E47)</f>
        <v/>
      </c>
      <c r="J47" s="25">
        <f>IF(I47="","",I47/1000)</f>
        <v/>
      </c>
    </row>
    <row r="48">
      <c r="A48" s="33" t="n"/>
      <c r="B48" s="34" t="n"/>
      <c r="C48" s="35" t="n"/>
      <c r="D48" s="36" t="n"/>
      <c r="E48" s="37" t="n"/>
      <c r="F48" s="38">
        <f>IF(OR(C48="",D48="",E48=""),"",IF(E48&lt;=Coeficienti!$A$4,Coeficienti!$B$4,IF(E48&gt;=Coeficienti!$A$7,Coeficienti!$B$7,INDEX(Coeficienti!$B$4:$B$7,MATCH(E48,Coeficienti!$A$4:$A$7,1))+(E48-INDEX(Coeficienti!$A$4:$A$7,MATCH(E48,Coeficienti!$A$4:$A$7,1)))*(INDEX(Coeficienti!$B$4:$B$7,MATCH(E48,Coeficienti!$A$4:$A$7,1)+1)-INDEX(Coeficienti!$B$4:$B$7,MATCH(E48,Coeficienti!$A$4:$A$7,1)))/(INDEX(Coeficienti!$A$4:$A$7,MATCH(E48,Coeficienti!$A$4:$A$7,1)+1)-INDEX(Coeficienti!$A$4:$A$7,MATCH(E48,Coeficienti!$A$4:$A$7,1))))))</f>
        <v/>
      </c>
      <c r="G48" s="23">
        <f>IF(F48="","",1-F48*(D48-Coeficienti!$B$15))</f>
        <v/>
      </c>
      <c r="H48" s="24">
        <f>IF(G48="","",C48*G48)</f>
        <v/>
      </c>
      <c r="I48" s="24">
        <f>IF(H48="","",H48*E48)</f>
        <v/>
      </c>
      <c r="J48" s="25">
        <f>IF(I48="","",I48/1000)</f>
        <v/>
      </c>
    </row>
    <row r="49">
      <c r="A49" s="33" t="n"/>
      <c r="B49" s="34" t="n"/>
      <c r="C49" s="35" t="n"/>
      <c r="D49" s="36" t="n"/>
      <c r="E49" s="37" t="n"/>
      <c r="F49" s="38">
        <f>IF(OR(C49="",D49="",E49=""),"",IF(E49&lt;=Coeficienti!$A$4,Coeficienti!$B$4,IF(E49&gt;=Coeficienti!$A$7,Coeficienti!$B$7,INDEX(Coeficienti!$B$4:$B$7,MATCH(E49,Coeficienti!$A$4:$A$7,1))+(E49-INDEX(Coeficienti!$A$4:$A$7,MATCH(E49,Coeficienti!$A$4:$A$7,1)))*(INDEX(Coeficienti!$B$4:$B$7,MATCH(E49,Coeficienti!$A$4:$A$7,1)+1)-INDEX(Coeficienti!$B$4:$B$7,MATCH(E49,Coeficienti!$A$4:$A$7,1)))/(INDEX(Coeficienti!$A$4:$A$7,MATCH(E49,Coeficienti!$A$4:$A$7,1)+1)-INDEX(Coeficienti!$A$4:$A$7,MATCH(E49,Coeficienti!$A$4:$A$7,1))))))</f>
        <v/>
      </c>
      <c r="G49" s="23">
        <f>IF(F49="","",1-F49*(D49-Coeficienti!$B$15))</f>
        <v/>
      </c>
      <c r="H49" s="24">
        <f>IF(G49="","",C49*G49)</f>
        <v/>
      </c>
      <c r="I49" s="24">
        <f>IF(H49="","",H49*E49)</f>
        <v/>
      </c>
      <c r="J49" s="25">
        <f>IF(I49="","",I49/1000)</f>
        <v/>
      </c>
    </row>
    <row r="50">
      <c r="A50" s="33" t="n"/>
      <c r="B50" s="34" t="n"/>
      <c r="C50" s="35" t="n"/>
      <c r="D50" s="36" t="n"/>
      <c r="E50" s="37" t="n"/>
      <c r="F50" s="38">
        <f>IF(OR(C50="",D50="",E50=""),"",IF(E50&lt;=Coeficienti!$A$4,Coeficienti!$B$4,IF(E50&gt;=Coeficienti!$A$7,Coeficienti!$B$7,INDEX(Coeficienti!$B$4:$B$7,MATCH(E50,Coeficienti!$A$4:$A$7,1))+(E50-INDEX(Coeficienti!$A$4:$A$7,MATCH(E50,Coeficienti!$A$4:$A$7,1)))*(INDEX(Coeficienti!$B$4:$B$7,MATCH(E50,Coeficienti!$A$4:$A$7,1)+1)-INDEX(Coeficienti!$B$4:$B$7,MATCH(E50,Coeficienti!$A$4:$A$7,1)))/(INDEX(Coeficienti!$A$4:$A$7,MATCH(E50,Coeficienti!$A$4:$A$7,1)+1)-INDEX(Coeficienti!$A$4:$A$7,MATCH(E50,Coeficienti!$A$4:$A$7,1))))))</f>
        <v/>
      </c>
      <c r="G50" s="23">
        <f>IF(F50="","",1-F50*(D50-Coeficienti!$B$15))</f>
        <v/>
      </c>
      <c r="H50" s="24">
        <f>IF(G50="","",C50*G50)</f>
        <v/>
      </c>
      <c r="I50" s="24">
        <f>IF(H50="","",H50*E50)</f>
        <v/>
      </c>
      <c r="J50" s="25">
        <f>IF(I50="","",I50/1000)</f>
        <v/>
      </c>
    </row>
    <row r="51">
      <c r="A51" s="33" t="n"/>
      <c r="B51" s="34" t="n"/>
      <c r="C51" s="35" t="n"/>
      <c r="D51" s="36" t="n"/>
      <c r="E51" s="37" t="n"/>
      <c r="F51" s="38">
        <f>IF(OR(C51="",D51="",E51=""),"",IF(E51&lt;=Coeficienti!$A$4,Coeficienti!$B$4,IF(E51&gt;=Coeficienti!$A$7,Coeficienti!$B$7,INDEX(Coeficienti!$B$4:$B$7,MATCH(E51,Coeficienti!$A$4:$A$7,1))+(E51-INDEX(Coeficienti!$A$4:$A$7,MATCH(E51,Coeficienti!$A$4:$A$7,1)))*(INDEX(Coeficienti!$B$4:$B$7,MATCH(E51,Coeficienti!$A$4:$A$7,1)+1)-INDEX(Coeficienti!$B$4:$B$7,MATCH(E51,Coeficienti!$A$4:$A$7,1)))/(INDEX(Coeficienti!$A$4:$A$7,MATCH(E51,Coeficienti!$A$4:$A$7,1)+1)-INDEX(Coeficienti!$A$4:$A$7,MATCH(E51,Coeficienti!$A$4:$A$7,1))))))</f>
        <v/>
      </c>
      <c r="G51" s="23">
        <f>IF(F51="","",1-F51*(D51-Coeficienti!$B$15))</f>
        <v/>
      </c>
      <c r="H51" s="24">
        <f>IF(G51="","",C51*G51)</f>
        <v/>
      </c>
      <c r="I51" s="24">
        <f>IF(H51="","",H51*E51)</f>
        <v/>
      </c>
      <c r="J51" s="25">
        <f>IF(I51="","",I51/1000)</f>
        <v/>
      </c>
    </row>
    <row r="52">
      <c r="A52" s="33" t="n"/>
      <c r="B52" s="34" t="n"/>
      <c r="C52" s="35" t="n"/>
      <c r="D52" s="36" t="n"/>
      <c r="E52" s="37" t="n"/>
      <c r="F52" s="38">
        <f>IF(OR(C52="",D52="",E52=""),"",IF(E52&lt;=Coeficienti!$A$4,Coeficienti!$B$4,IF(E52&gt;=Coeficienti!$A$7,Coeficienti!$B$7,INDEX(Coeficienti!$B$4:$B$7,MATCH(E52,Coeficienti!$A$4:$A$7,1))+(E52-INDEX(Coeficienti!$A$4:$A$7,MATCH(E52,Coeficienti!$A$4:$A$7,1)))*(INDEX(Coeficienti!$B$4:$B$7,MATCH(E52,Coeficienti!$A$4:$A$7,1)+1)-INDEX(Coeficienti!$B$4:$B$7,MATCH(E52,Coeficienti!$A$4:$A$7,1)))/(INDEX(Coeficienti!$A$4:$A$7,MATCH(E52,Coeficienti!$A$4:$A$7,1)+1)-INDEX(Coeficienti!$A$4:$A$7,MATCH(E52,Coeficienti!$A$4:$A$7,1))))))</f>
        <v/>
      </c>
      <c r="G52" s="23">
        <f>IF(F52="","",1-F52*(D52-Coeficienti!$B$15))</f>
        <v/>
      </c>
      <c r="H52" s="24">
        <f>IF(G52="","",C52*G52)</f>
        <v/>
      </c>
      <c r="I52" s="24">
        <f>IF(H52="","",H52*E52)</f>
        <v/>
      </c>
      <c r="J52" s="25">
        <f>IF(I52="","",I52/1000)</f>
        <v/>
      </c>
    </row>
    <row r="53">
      <c r="A53" s="33" t="n"/>
      <c r="B53" s="34" t="n"/>
      <c r="C53" s="35" t="n"/>
      <c r="D53" s="36" t="n"/>
      <c r="E53" s="37" t="n"/>
      <c r="F53" s="38">
        <f>IF(OR(C53="",D53="",E53=""),"",IF(E53&lt;=Coeficienti!$A$4,Coeficienti!$B$4,IF(E53&gt;=Coeficienti!$A$7,Coeficienti!$B$7,INDEX(Coeficienti!$B$4:$B$7,MATCH(E53,Coeficienti!$A$4:$A$7,1))+(E53-INDEX(Coeficienti!$A$4:$A$7,MATCH(E53,Coeficienti!$A$4:$A$7,1)))*(INDEX(Coeficienti!$B$4:$B$7,MATCH(E53,Coeficienti!$A$4:$A$7,1)+1)-INDEX(Coeficienti!$B$4:$B$7,MATCH(E53,Coeficienti!$A$4:$A$7,1)))/(INDEX(Coeficienti!$A$4:$A$7,MATCH(E53,Coeficienti!$A$4:$A$7,1)+1)-INDEX(Coeficienti!$A$4:$A$7,MATCH(E53,Coeficienti!$A$4:$A$7,1))))))</f>
        <v/>
      </c>
      <c r="G53" s="23">
        <f>IF(F53="","",1-F53*(D53-Coeficienti!$B$15))</f>
        <v/>
      </c>
      <c r="H53" s="24">
        <f>IF(G53="","",C53*G53)</f>
        <v/>
      </c>
      <c r="I53" s="24">
        <f>IF(H53="","",H53*E53)</f>
        <v/>
      </c>
      <c r="J53" s="25">
        <f>IF(I53="","",I53/1000)</f>
        <v/>
      </c>
    </row>
    <row r="54">
      <c r="A54" s="33" t="n"/>
      <c r="B54" s="34" t="n"/>
      <c r="C54" s="35" t="n"/>
      <c r="D54" s="36" t="n"/>
      <c r="E54" s="37" t="n"/>
      <c r="F54" s="38">
        <f>IF(OR(C54="",D54="",E54=""),"",IF(E54&lt;=Coeficienti!$A$4,Coeficienti!$B$4,IF(E54&gt;=Coeficienti!$A$7,Coeficienti!$B$7,INDEX(Coeficienti!$B$4:$B$7,MATCH(E54,Coeficienti!$A$4:$A$7,1))+(E54-INDEX(Coeficienti!$A$4:$A$7,MATCH(E54,Coeficienti!$A$4:$A$7,1)))*(INDEX(Coeficienti!$B$4:$B$7,MATCH(E54,Coeficienti!$A$4:$A$7,1)+1)-INDEX(Coeficienti!$B$4:$B$7,MATCH(E54,Coeficienti!$A$4:$A$7,1)))/(INDEX(Coeficienti!$A$4:$A$7,MATCH(E54,Coeficienti!$A$4:$A$7,1)+1)-INDEX(Coeficienti!$A$4:$A$7,MATCH(E54,Coeficienti!$A$4:$A$7,1))))))</f>
        <v/>
      </c>
      <c r="G54" s="23">
        <f>IF(F54="","",1-F54*(D54-Coeficienti!$B$15))</f>
        <v/>
      </c>
      <c r="H54" s="24">
        <f>IF(G54="","",C54*G54)</f>
        <v/>
      </c>
      <c r="I54" s="24">
        <f>IF(H54="","",H54*E54)</f>
        <v/>
      </c>
      <c r="J54" s="25">
        <f>IF(I54="","",I54/1000)</f>
        <v/>
      </c>
    </row>
    <row r="55">
      <c r="B55" s="39" t="inlineStr">
        <is>
          <t>TOTAL</t>
        </is>
      </c>
      <c r="C55" s="40">
        <f>SUM(C5:C54)</f>
        <v/>
      </c>
      <c r="H55" s="41">
        <f>SUM(H5:H54)</f>
        <v/>
      </c>
      <c r="I55" s="41">
        <f>SUM(I5:I54)</f>
        <v/>
      </c>
      <c r="J55" s="42">
        <f>SUM(J5:J54)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80" customWidth="1" min="3" max="3"/>
  </cols>
  <sheetData>
    <row r="1">
      <c r="A1" s="19" t="inlineStr">
        <is>
          <t>Coeficienți de dilatare β pentru GPL (după densitatea la 15 °C)</t>
        </is>
      </c>
    </row>
    <row r="3">
      <c r="A3" s="43" t="inlineStr">
        <is>
          <t>ρ15 (kg/L)</t>
        </is>
      </c>
      <c r="B3" s="43" t="inlineStr">
        <is>
          <t>β (1/°C)</t>
        </is>
      </c>
      <c r="C3" s="43" t="inlineStr">
        <is>
          <t>Produs tipic</t>
        </is>
      </c>
    </row>
    <row r="4">
      <c r="A4" s="44" t="n">
        <v>0.5</v>
      </c>
      <c r="B4" s="45" t="n">
        <v>0.003</v>
      </c>
      <c r="C4" s="46" t="inlineStr">
        <is>
          <t>propan pur / foarte ușor</t>
        </is>
      </c>
    </row>
    <row r="5">
      <c r="A5" s="44" t="n">
        <v>0.51</v>
      </c>
      <c r="B5" s="45" t="n">
        <v>0.0029</v>
      </c>
      <c r="C5" s="46" t="inlineStr">
        <is>
          <t>propan comercial</t>
        </is>
      </c>
    </row>
    <row r="6">
      <c r="A6" s="44" t="n">
        <v>0.54</v>
      </c>
      <c r="B6" s="45" t="n">
        <v>0.0025</v>
      </c>
      <c r="C6" s="46" t="inlineStr">
        <is>
          <t>amestec propan-butan (~50/50)</t>
        </is>
      </c>
    </row>
    <row r="7">
      <c r="A7" s="44" t="n">
        <v>0.58</v>
      </c>
      <c r="B7" s="45" t="n">
        <v>0.002</v>
      </c>
      <c r="C7" s="46" t="inlineStr">
        <is>
          <t>butan</t>
        </is>
      </c>
    </row>
    <row r="8" ht="30" customHeight="1">
      <c r="A8" s="47" t="inlineStr">
        <is>
          <t>Valori aproximative (medii pe intervalul ~0…30 °C), estimate din proprietățile tipice ale propanului/butanului lichid. Pentru documente fiscale se folosește tabelul oficial ASTM/API Table 54E (diferență tipică ±0,1–0,2 %). Poți modifica valorile albastre dacă furnizorul îți dă alți coeficienți.</t>
        </is>
      </c>
    </row>
    <row r="9"/>
    <row r="11">
      <c r="A11" s="39" t="inlineStr">
        <is>
          <t>Interpolare pentru ρ15 din Calculator</t>
        </is>
      </c>
    </row>
    <row r="12">
      <c r="A12" s="46" t="inlineStr">
        <is>
          <t>β interpolat</t>
        </is>
      </c>
      <c r="B12" s="48">
        <f>IF(Calculator!C8&lt;=A4,B4,IF(Calculator!C8&gt;=A7,B7,INDEX(B4:B7,MATCH(Calculator!C8,A4:A7,1))+(Calculator!C8-INDEX(A4:A7,MATCH(Calculator!C8,A4:A7,1)))*(INDEX(B4:B7,MATCH(Calculator!C8,A4:A7,1)+1)-INDEX(B4:B7,MATCH(Calculator!C8,A4:A7,1)))/(INDEX(A4:A7,MATCH(Calculator!C8,A4:A7,1)+1)-INDEX(A4:A7,MATCH(Calculator!C8,A4:A7,1)))))</f>
        <v/>
      </c>
      <c r="C12" s="49" t="inlineStr">
        <is>
          <t>Interpolare liniară între cele două rânduri din tabel între care se află ρ15 (dacă ρ15 e în afara tabelului, se ia valoarea de la capăt).</t>
        </is>
      </c>
    </row>
    <row r="14">
      <c r="A14" s="39" t="inlineStr">
        <is>
          <t>Alte constante</t>
        </is>
      </c>
    </row>
    <row r="15">
      <c r="A15" s="46" t="inlineStr">
        <is>
          <t>Temperatura de referință</t>
        </is>
      </c>
      <c r="B15" s="50" t="n">
        <v>15</v>
      </c>
      <c r="C15" s="46" t="inlineStr">
        <is>
          <t>°C – standard internațional pentru produse petroliere</t>
        </is>
      </c>
    </row>
    <row r="16">
      <c r="A16" s="46" t="inlineStr">
        <is>
          <t>Corecție flotabilitate aer</t>
        </is>
      </c>
      <c r="B16" s="51" t="n">
        <v>0.0011</v>
      </c>
      <c r="C16" s="46" t="inlineStr">
        <is>
          <t>kg/L – se scade din ρ15 când masa e cerută „în aer” (convenție ASTM D1250)</t>
        </is>
      </c>
    </row>
  </sheetData>
  <mergeCells count="1">
    <mergeCell ref="A8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2026-10-05T11:55:37Z</dcterms:created>
  <dcterms:modified xmlns:dcterms="http://purl.org/dc/terms/" xmlns:xsi="http://www.w3.org/2001/XMLSchema-instance" xsi:type="dcterms:W3CDTF">2026-10-05T11:55:38Z</dcterms:modified>
</cp:coreProperties>
</file>